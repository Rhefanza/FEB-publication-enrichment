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cuments\Data 190921\"/>
    </mc:Choice>
  </mc:AlternateContent>
  <xr:revisionPtr revIDLastSave="0" documentId="13_ncr:1_{0172F529-3953-4A7E-94BE-B54B9DB0F2A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osen yang belum memiki SCOPUS" sheetId="11" r:id="rId1"/>
    <sheet name="AK" sheetId="4" r:id="rId2"/>
    <sheet name="IE" sheetId="5" r:id="rId3"/>
    <sheet name="MN" sheetId="6" r:id="rId4"/>
    <sheet name="EI" sheetId="7" r:id="rId5"/>
  </sheets>
  <definedNames>
    <definedName name="_xlnm._FilterDatabase" localSheetId="1" hidden="1">AK!$A$2:$S$58</definedName>
    <definedName name="_xlnm._FilterDatabase" localSheetId="4" hidden="1">EI!$A$1:$Q$38</definedName>
    <definedName name="_xlnm._FilterDatabase" localSheetId="2" hidden="1">IE!$A$2:$S$40</definedName>
    <definedName name="_xlnm._FilterDatabase" localSheetId="3" hidden="1">MN!$A$2:$S$49</definedName>
  </definedNames>
  <calcPr calcId="181029"/>
</workbook>
</file>

<file path=xl/calcChain.xml><?xml version="1.0" encoding="utf-8"?>
<calcChain xmlns="http://schemas.openxmlformats.org/spreadsheetml/2006/main">
  <c r="F58" i="4" l="1"/>
  <c r="G58" i="4"/>
  <c r="H58" i="4"/>
  <c r="I58" i="4"/>
  <c r="J58" i="4"/>
  <c r="K58" i="4"/>
  <c r="L58" i="4"/>
  <c r="M58" i="4"/>
  <c r="N58" i="4"/>
  <c r="O58" i="4"/>
  <c r="P58" i="4"/>
  <c r="E58" i="4"/>
  <c r="F40" i="5"/>
  <c r="G40" i="5"/>
  <c r="H40" i="5"/>
  <c r="I40" i="5"/>
  <c r="J40" i="5"/>
  <c r="K40" i="5"/>
  <c r="L40" i="5"/>
  <c r="M40" i="5"/>
  <c r="N40" i="5"/>
  <c r="O40" i="5"/>
  <c r="P40" i="5"/>
  <c r="E40" i="5"/>
  <c r="F46" i="6"/>
  <c r="G46" i="6"/>
  <c r="H46" i="6"/>
  <c r="I46" i="6"/>
  <c r="J46" i="6"/>
  <c r="K46" i="6"/>
  <c r="L46" i="6"/>
  <c r="M46" i="6"/>
  <c r="N46" i="6"/>
  <c r="O46" i="6"/>
  <c r="P46" i="6"/>
  <c r="E46" i="6"/>
  <c r="F39" i="7"/>
  <c r="G39" i="7"/>
  <c r="H39" i="7"/>
  <c r="I39" i="7"/>
  <c r="J39" i="7"/>
  <c r="K39" i="7"/>
  <c r="L39" i="7"/>
  <c r="M39" i="7"/>
  <c r="N39" i="7"/>
  <c r="O39" i="7"/>
  <c r="P39" i="7"/>
  <c r="E39" i="7"/>
  <c r="C44" i="5" l="1"/>
  <c r="C45" i="5"/>
  <c r="C49" i="6"/>
  <c r="C48" i="6"/>
  <c r="C62" i="4"/>
  <c r="C63" i="4"/>
  <c r="C70" i="4"/>
  <c r="C69" i="4"/>
  <c r="D44" i="7"/>
  <c r="D43" i="7"/>
  <c r="P40" i="7"/>
  <c r="P47" i="6"/>
  <c r="P44" i="5"/>
  <c r="C68" i="4" l="1"/>
  <c r="C6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573478-4CA9-4A16-AAD3-45B66A72CB80}" keepAlive="1" name="Query - scopus (2)" description="Connection to the 'scopus (2)' query in the workbook." type="5" refreshedVersion="6" background="1" saveData="1">
    <dbPr connection="Provider=Microsoft.Mashup.OleDb.1;Data Source=$Workbook$;Location=scopus (2);Extended Properties=&quot;&quot;" command="SELECT * FROM [scopus (2)]"/>
  </connection>
  <connection id="2" xr16:uid="{FE85B455-C71A-4B51-A96F-32D520AA28BC}" keepAlive="1" name="Query - scopus (3)" description="Connection to the 'scopus (3)' query in the workbook." type="5" refreshedVersion="6" background="1" saveData="1">
    <dbPr connection="Provider=Microsoft.Mashup.OleDb.1;Data Source=$Workbook$;Location=scopus (3);Extended Properties=&quot;&quot;" command="SELECT * FROM [scopus (3)]"/>
  </connection>
  <connection id="3" xr16:uid="{DBF31C38-7C2C-4A45-A0DC-E0290E6532BB}" keepAlive="1" name="Query - scopus (4)" description="Connection to the 'scopus (4)' query in the workbook." type="5" refreshedVersion="6" background="1" saveData="1">
    <dbPr connection="Provider=Microsoft.Mashup.OleDb.1;Data Source=$Workbook$;Location=scopus (4);Extended Properties=&quot;&quot;" command="SELECT * FROM [scopus (4)]"/>
  </connection>
  <connection id="4" xr16:uid="{440D83FF-17D7-4317-8F7C-7EF7743D6ACD}" keepAlive="1" name="Query - scopus (5)" description="Connection to the 'scopus (5)' query in the workbook." type="5" refreshedVersion="6" background="1" saveData="1">
    <dbPr connection="Provider=Microsoft.Mashup.OleDb.1;Data Source=$Workbook$;Location=scopus (5);Extended Properties=&quot;&quot;" command="SELECT * FROM [scopus (5)]"/>
  </connection>
  <connection id="5" xr16:uid="{AD88A9AB-70EA-4C5E-A182-CA7F29125058}" keepAlive="1" name="Query - scopus (8)" description="Connection to the 'scopus (8)' query in the workbook." type="5" refreshedVersion="6" background="1" saveData="1">
    <dbPr connection="Provider=Microsoft.Mashup.OleDb.1;Data Source=$Workbook$;Location=scopus (8);Extended Properties=&quot;&quot;" command="SELECT * FROM [scopus (8)]"/>
  </connection>
</connections>
</file>

<file path=xl/sharedStrings.xml><?xml version="1.0" encoding="utf-8"?>
<sst xmlns="http://schemas.openxmlformats.org/spreadsheetml/2006/main" count="778" uniqueCount="387">
  <si>
    <t>AK</t>
  </si>
  <si>
    <t>IE</t>
  </si>
  <si>
    <t>Gigih Prihantono, S.E., M.SE.</t>
  </si>
  <si>
    <t>Denizar Abdurrahman Mi'raj, S.EI., M.SEI.</t>
  </si>
  <si>
    <t>H-INDEX</t>
  </si>
  <si>
    <t>Dr. La Ode Sabaruddin, SE., M.Si.</t>
  </si>
  <si>
    <t>Nining Islamiyah, S.A., M.Sc.</t>
  </si>
  <si>
    <t>Wahyu Wisnu Wardana, SE., M.Sc.</t>
  </si>
  <si>
    <t>Muhammad Syaikh Rohman, SE., M.Ec.</t>
  </si>
  <si>
    <t>Haura Azzahra Tarbiyah Islamiya, SE., M.Sc.</t>
  </si>
  <si>
    <t>Zahrin Haznina Qalby, S.M., M.Sc.</t>
  </si>
  <si>
    <t>Al Ma'rifatul A'la, S.EI., M.A.</t>
  </si>
  <si>
    <t>Nama</t>
  </si>
  <si>
    <t>Dep</t>
  </si>
  <si>
    <t>No</t>
  </si>
  <si>
    <t>Prof. Drs. Basuki, M.Com(HONS)., Ph.D., Ak.</t>
  </si>
  <si>
    <t>Prof. Dr. Noorlailie Soewarno, SE., MBA., Ak.</t>
  </si>
  <si>
    <t>Prof. Iman Harymawan, SE., MBA., Ph.D.</t>
  </si>
  <si>
    <t>Dr. Wiwik Supratiwi, Dra., MBA., Ak.</t>
  </si>
  <si>
    <t>Siti Nuraini, SE., ME.</t>
  </si>
  <si>
    <t>Anna Retnawati, SE.,M.Acc., Ph.D.</t>
  </si>
  <si>
    <t>Dewi Sriani, SA., M.Sc., M.S.Ak.</t>
  </si>
  <si>
    <t>Fajar Kristanto Gautama Putra, S.A., M.A.</t>
  </si>
  <si>
    <t>Vidya Intani Athfalina, S.E., M.S.Ak.</t>
  </si>
  <si>
    <t>Dina Indriana, S.A., M.A.</t>
  </si>
  <si>
    <t>Tantri Sun Estuning Dasih, S.A., M.A.</t>
  </si>
  <si>
    <t>Bayu Arie Fianto, S.E., MBA., Ph.D.</t>
  </si>
  <si>
    <t>Dr. Achsania Hendratmi, S.E., M.Si.</t>
  </si>
  <si>
    <t>Dr. Irham Zaki, S.Ag., M.EI.</t>
  </si>
  <si>
    <t>Dr. Ari Prasetyo, S.E., M.Si.</t>
  </si>
  <si>
    <t>Dr. R. Moh. Qudsi Fauzi, Drs., M.M.</t>
  </si>
  <si>
    <t>Lina Nugraha Rani, S.E., M.SEI.</t>
  </si>
  <si>
    <t>Siti Zulaikha, S.E., M.Si., Ph.D.</t>
  </si>
  <si>
    <t>Sylva Alif Rusmita, S.E., CIFP.</t>
  </si>
  <si>
    <t>Sulistya Rusgianto, S.E., MIF., Ph.D.</t>
  </si>
  <si>
    <t>Dr. Fatin Fadhilah Hasib, S.E., M.Si.</t>
  </si>
  <si>
    <t>Meri Indri Hapsari, S.E., M.Si., Ph.D.</t>
  </si>
  <si>
    <t>Noven Suprayogi, S.E., M.Si., Ak.</t>
  </si>
  <si>
    <t>Muhamad Said Fathurrohman, S.E., M.Sc.</t>
  </si>
  <si>
    <t>Sunan Fanani, S.Ag., M.Pd.I.</t>
  </si>
  <si>
    <t>Dian Filianti, SE., M.Acc.</t>
  </si>
  <si>
    <t>Luthfi Nur Rosyidi, S.E., M.M.</t>
  </si>
  <si>
    <t>Ida Wijayanti, S.EI., M.SEI.</t>
  </si>
  <si>
    <t>Annisa Rahma Febriyanti, S.EI., M.SEI.</t>
  </si>
  <si>
    <t>Prof. Dra.Ec. Dyah Wulan Sari, M.Ec.Dev., Ph.D.</t>
  </si>
  <si>
    <t>Drs. Ec. Bambang Eko Afiatno, M.SE., Ph.D.</t>
  </si>
  <si>
    <t>Dr. Wisnu Wibowo, SE., M.Si.</t>
  </si>
  <si>
    <t>M. Khoerul Mubin, S.E., M.Sc.</t>
  </si>
  <si>
    <t>Angga Erlando, S.E., M.Ec.Dev.</t>
  </si>
  <si>
    <t>Widya Sylviana, SE.,M.Si., Ph.D.</t>
  </si>
  <si>
    <t>Achmad Tohari, SE.,M.Sc., Ph.D.</t>
  </si>
  <si>
    <t>Magdalena Triasih Dumauli, SE., M.Ec., Ph.D.</t>
  </si>
  <si>
    <t>Yessi Rahmawati, S.E., M.Ec.</t>
  </si>
  <si>
    <t>Prof. Dr. Tanti Handriana, SE., M.Si.</t>
  </si>
  <si>
    <t>Drs. Sri Gunawan, M.Com., DBA.</t>
  </si>
  <si>
    <t>Elsa Yustika Putri, S.M., M.SM.</t>
  </si>
  <si>
    <t>Dunga Dwi Barinta, S.E., M.M.</t>
  </si>
  <si>
    <t>Zainul Musthofa, S.M., M.B.A.</t>
  </si>
  <si>
    <t>Nurul Khaira, S.E., M.Si.</t>
  </si>
  <si>
    <t>Prof. Dr. Dian Agustia, SE., M.Si., Ak.</t>
  </si>
  <si>
    <t>Prof. Dr. Bambang Tjahjadi, SE., MBA., Ak.</t>
  </si>
  <si>
    <t>Prof. Dr. I Made Narsa, SE., M.Si., Ak.</t>
  </si>
  <si>
    <t>Prof. Dr. Sri Iswati, SE., M.Si., Ak.</t>
  </si>
  <si>
    <t>Prof. Dr. Moh. Nasih, SE., MT., Ak.</t>
  </si>
  <si>
    <t>Damara Ardelia Kusuma Wardani, S.A., M.A.</t>
  </si>
  <si>
    <t>Prof. Dr. Imron Mawardi, S.P., M.Si.</t>
  </si>
  <si>
    <t>Nabilah Ratnaduhita Firjatullah, S.E., M.S.M.</t>
  </si>
  <si>
    <t>ID SCOPUS</t>
  </si>
  <si>
    <t>NO</t>
  </si>
  <si>
    <t>NAMA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</si>
  <si>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</si>
  <si>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</si>
  <si>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</si>
  <si>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</si>
  <si>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</si>
  <si>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</si>
  <si>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</si>
  <si>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</si>
  <si>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</si>
  <si>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Prof. Dr. Drs. Heru Tjaraka, M.Si., Ak.</t>
  </si>
  <si>
    <t>10</t>
  </si>
  <si>
    <t>11</t>
  </si>
  <si>
    <t>12</t>
  </si>
  <si>
    <t>13</t>
  </si>
  <si>
    <t>Dra. Mienati Somya Lasmana, M.Si., Ak.</t>
  </si>
  <si>
    <t>14</t>
  </si>
  <si>
    <t>Dr. Zahroh Naimah, SE., M.Si., Ak.</t>
  </si>
  <si>
    <t>15</t>
  </si>
  <si>
    <t>Dr. Isnalita, Dra., M.Si., Ak.</t>
  </si>
  <si>
    <t>16</t>
  </si>
  <si>
    <t>Novrys Suhardianto, SE., MSA., Ak., Ph.D.</t>
  </si>
  <si>
    <t>17</t>
  </si>
  <si>
    <t>Dr. Wiwiek Dianawati, Dra., M.Si., Ak.</t>
  </si>
  <si>
    <t>18</t>
  </si>
  <si>
    <t>Dr. Sri Ningsih, SE., M.Si., Ak.</t>
  </si>
  <si>
    <t>19</t>
  </si>
  <si>
    <t>Dr. Alfa Rahmiati, SE., MM., Ak.</t>
  </si>
  <si>
    <t>20</t>
  </si>
  <si>
    <t>Dr. Santi Novita, SE., MM., Ak.</t>
  </si>
  <si>
    <t>21</t>
  </si>
  <si>
    <t>Amalia Rizki, SE., M.Si., Ak.</t>
  </si>
  <si>
    <t>22</t>
  </si>
  <si>
    <t>23</t>
  </si>
  <si>
    <t>Dr. Devi Sulistyo Kalanjati, SE., M.Acc., M.Sc., Ak.</t>
  </si>
  <si>
    <t>24</t>
  </si>
  <si>
    <t>Alfiyatul Qomariyah, S.Ak., MBA., Ph.D.</t>
  </si>
  <si>
    <t>25</t>
  </si>
  <si>
    <t>Yani Permatasari, S.Ak., MBA.</t>
  </si>
  <si>
    <t>26</t>
  </si>
  <si>
    <t>Niluh Putu Dian Rosalina Handayani Narsa, SA., M.Sc.</t>
  </si>
  <si>
    <t>27</t>
  </si>
  <si>
    <t>Dr. Erina Sudaryati, Dra., MS., Ak.</t>
  </si>
  <si>
    <t>28</t>
  </si>
  <si>
    <t>Dra. Iswajuni, M.Si., Ak.</t>
  </si>
  <si>
    <t>29</t>
  </si>
  <si>
    <t>Dr. Habiburrochman, SE., M.Si., Ak.</t>
  </si>
  <si>
    <t>30</t>
  </si>
  <si>
    <t>Dr. Ika Atma Kurniawanti, SE., M.Si., Ak.</t>
  </si>
  <si>
    <t>31</t>
  </si>
  <si>
    <t>Damai Nasution, SE., M.Si., Ak., D.Sc.</t>
  </si>
  <si>
    <t>32</t>
  </si>
  <si>
    <t>Dr. Anak Agung Gde Satia Utama, SE., M.Ak., Ak.</t>
  </si>
  <si>
    <t>33</t>
  </si>
  <si>
    <t>Deddy Kurniawansyah, SE., MA.</t>
  </si>
  <si>
    <t>34</t>
  </si>
  <si>
    <t>35</t>
  </si>
  <si>
    <t>36</t>
  </si>
  <si>
    <t>Izzato Millati, S.IP., M.IP.</t>
  </si>
  <si>
    <t>37</t>
  </si>
  <si>
    <t>Rizqy Aiddha Yuniawati, SA., Ak., M.Acc.</t>
  </si>
  <si>
    <t>38</t>
  </si>
  <si>
    <t>Nadia Anridho, S.Ak., MBA., Ph.D.</t>
  </si>
  <si>
    <t>39</t>
  </si>
  <si>
    <t>40</t>
  </si>
  <si>
    <t>Dina Heriyati, SE., MFor.Accy.</t>
  </si>
  <si>
    <t>41</t>
  </si>
  <si>
    <t>42</t>
  </si>
  <si>
    <t>Fandi Prasetya, SE., Ak., M.Akun.</t>
  </si>
  <si>
    <t>43</t>
  </si>
  <si>
    <t>Dr. Murdiyati Dewi, Dra., M.Si., Ak.</t>
  </si>
  <si>
    <t>Sandra Sukma Embuningtiyas, SE., M.Akun.</t>
  </si>
  <si>
    <t>Okta Sindhu Hartadinata, SE., MA.</t>
  </si>
  <si>
    <t>https://www.scopus.com/authid/detail.uri?authorId=57191278873</t>
  </si>
  <si>
    <t>Prof. Dr. Muryani, SE., M.Si., MEMD.</t>
  </si>
  <si>
    <t>Prof. Dr. Wasiaturrahma, SE., M.Si.</t>
  </si>
  <si>
    <t>Prof. Dr. Rudi Purwono, SE., MSE.</t>
  </si>
  <si>
    <t>Prof. Rossanto Dwi Handoyo, SE., M.Si., Ph.D.</t>
  </si>
  <si>
    <t>Prof. Drs.Ec. Tri Haryanto, M.P., Ph.D.</t>
  </si>
  <si>
    <t>Prof. Dr. Deni Kusumawardani, SE., M.Si.</t>
  </si>
  <si>
    <t>Achmad Sjafii, SE., ME.</t>
  </si>
  <si>
    <t>Dr. Achmad Solihin, SE., M.Si.</t>
  </si>
  <si>
    <t>Atik Purmiyati, SE., M.Si., Ph.D.</t>
  </si>
  <si>
    <t>Dr. Ni Made Sukartini, SE., M.Si., MIDEC.</t>
  </si>
  <si>
    <t>Fithriyah, SE., MPA., Ph.D.</t>
  </si>
  <si>
    <t>Dr. Nurul Istifadah, SE., M.Si.</t>
  </si>
  <si>
    <t>Nur Aini Hidayati, SE., M.Si., Ph.D.</t>
  </si>
  <si>
    <t>Rumayya, SE., M.Reg.Dev., Ph.D.</t>
  </si>
  <si>
    <t>Shochrul Rohmatul Ajija, SE., M.Ec.</t>
  </si>
  <si>
    <t>Ilmiawan Auwalin, SE., M.App.Ec., Ph.D.</t>
  </si>
  <si>
    <t>Martha Ranggi Primanthi, SE., MIDEC., Ph.D.</t>
  </si>
  <si>
    <t>Akhmad Jayadi, SE., M.Ec.Dev.</t>
  </si>
  <si>
    <t>Lyla Rachmaningtyas, SE., M.Si., Ph.D.</t>
  </si>
  <si>
    <t>Prof. Badri Munir Sukoco, SE., MBA., Ph.D.</t>
  </si>
  <si>
    <t>Prof. Dr. Sri Hartini, SE., M.Si.</t>
  </si>
  <si>
    <t>Prof. Dr. Ahmad Rizki Sridadi, SH., MM., MH.</t>
  </si>
  <si>
    <t>Prof. Dr. Muhammad Madyan, SE., M.Si., M.Fin</t>
  </si>
  <si>
    <t>Prof. Dr. Indrianawati Usman, SE., M.Sc.</t>
  </si>
  <si>
    <t>Prof. Dr. Rahmat Setiawan, SE., MM.</t>
  </si>
  <si>
    <t>Prof. Dr. Nuri Herachwati, Dra.Ec., M.Si., M.Sc.</t>
  </si>
  <si>
    <t>Prof. Dr. Gancar Candra Premananto, SE., M.Si.</t>
  </si>
  <si>
    <t>Prof. Dr. Fitri Ismiyanti, SE., M.Si.</t>
  </si>
  <si>
    <t>Dr. Febriana Wurjaningrum, SE., MT.</t>
  </si>
  <si>
    <t>Dr. Windijarto, SE., MBA.</t>
  </si>
  <si>
    <t>Dr. Masmira Kurniawati, SE., M.Si.</t>
  </si>
  <si>
    <t>Dr. Wisudanto, SE., MM.</t>
  </si>
  <si>
    <t>Dr. Tri Siwi Agustina, SE., M.Si.</t>
  </si>
  <si>
    <t>Dr. Yetty Dwi Lestari, SE., MT.</t>
  </si>
  <si>
    <t>Sony Kusumasondjaja, SE., M.Com., Ph.D.</t>
  </si>
  <si>
    <t>Nugroho Sasikirono, SE., MM.</t>
  </si>
  <si>
    <t>Dr. Dien Mardhiyah, SE., M.Si.</t>
  </si>
  <si>
    <t>Dr. Puput Tri Komalasari, SE., M.Si., MM.</t>
  </si>
  <si>
    <t>Dr. Tuwanku Aria Auliandri, SE., M.Sc.</t>
  </si>
  <si>
    <t>Chorry Sulistyowati, SE., M.Sc.</t>
  </si>
  <si>
    <t>Nurullaily Kartika, SE., MBA.</t>
  </si>
  <si>
    <t>Ida Bagus Gede Adi Permana, SE., M.Sc.</t>
  </si>
  <si>
    <t>Amak Mohamad Yaqoub, SE., MSM.</t>
  </si>
  <si>
    <t>Jovi Sulistiawan, SE., MSM., Ph.D.</t>
  </si>
  <si>
    <t>Noorlaily Fitdiarini, SE., MBA.</t>
  </si>
  <si>
    <t>Made Gitanadya Ayu Aryani, SE., MSM.</t>
  </si>
  <si>
    <t>Ratri Amelia Aisyah, SM., MSM.</t>
  </si>
  <si>
    <t>Mochammad Thanthowy Syamsuddin, SE., MAB.</t>
  </si>
  <si>
    <t>Prof. Dr. Raditya Sukmana, S.E., MA.</t>
  </si>
  <si>
    <t>Prof. Dr. Sri Herianingrum, S.E., M.Si.</t>
  </si>
  <si>
    <t>Prof. Dr. Ririn Tri Ratnasari, SE., M.Si.</t>
  </si>
  <si>
    <t>Prof. Dr. Nisful Laila, SE., M.Com.</t>
  </si>
  <si>
    <t>Prof. Dr. Muhamad Nafik Hadi Ryandono, S.E., M.Si.</t>
  </si>
  <si>
    <t>Prof. Dr. Tika Widiastuti, SE., M.Si.</t>
  </si>
  <si>
    <t>Dr. Dina Fitrisia Septiarini, S.E., M.M., Ak.</t>
  </si>
  <si>
    <t>Dr. Atina Shofawati, S.E., M.Si.</t>
  </si>
  <si>
    <t>Ahmad Fadlur Rahman Bayuny, SEI., M.Sc.IBF., Ph.D.</t>
  </si>
  <si>
    <t>https://www.scopus.com/authid/detail.uri?authorId=57196192693</t>
  </si>
  <si>
    <t>https://www.scopus.com/authid/detail.uri?authorId=57195996932</t>
  </si>
  <si>
    <t>https://www.scopus.com/authid/detail.uri?authorId=57210152258</t>
  </si>
  <si>
    <t>https://www.scopus.com/authid/detail.uri?authorId=57209289256</t>
  </si>
  <si>
    <t>https://www.scopus.com/authid/detail.uri?authorId=57217185371</t>
  </si>
  <si>
    <t>https://www.scopus.com/authid/detail.uri?authorId=57203927339</t>
  </si>
  <si>
    <t>https://www.scopus.com/authid/detail.uri?authorId=57191762412</t>
  </si>
  <si>
    <t>https://www.scopus.com/authid/detail.uri?authorId=57214677631</t>
  </si>
  <si>
    <t>https://www.scopus.com/authid/detail.uri?authorId=57211528494</t>
  </si>
  <si>
    <t>https://www.scopus.com/authid/detail.uri?authorId=57205193060</t>
  </si>
  <si>
    <t>https://www.scopus.com/authid/detail.uri?authorId=57202446002</t>
  </si>
  <si>
    <t>https://www.scopus.com/authid/detail.uri?authorId=57214675298</t>
  </si>
  <si>
    <t>https://www.scopus.com/authid/detail.uri?authorId=57229954600</t>
  </si>
  <si>
    <t>https://www.scopus.com/authid/detail.uri?authorId=57210743394</t>
  </si>
  <si>
    <t>https://www.scopus.com/authid/detail.uri?authorId=57215877263</t>
  </si>
  <si>
    <t>https://www.scopus.com/authid/detail.uri?authorId=57207298735</t>
  </si>
  <si>
    <t>https://www.scopus.com/authid/detail.uri?authorId=57572579800</t>
  </si>
  <si>
    <t>https://www.scopus.com/authid/detail.uri?authorId=57216769878</t>
  </si>
  <si>
    <t>https://www.scopus.com/authid/detail.uri?authorId=57237998600</t>
  </si>
  <si>
    <t>https://www.scopus.com/authid/detail.uri?authorId=59426968600</t>
  </si>
  <si>
    <t>https://www.scopus.com/authid/detail.uri?authorId=57885905300</t>
  </si>
  <si>
    <t>https://www.scopus.com/authid/detail.uri?authorId=57211553820</t>
  </si>
  <si>
    <t>https://www.scopus.com/authid/detail.uri?authorId=57110451200</t>
  </si>
  <si>
    <t>https://www.scopus.com/authid/detail.uri?authorId=57199327980</t>
  </si>
  <si>
    <t>https://www.scopus.com/authid/detail.uri?authorId=57204861958</t>
  </si>
  <si>
    <t>https://www.scopus.com/authid/detail.uri?authorId=57217217747</t>
  </si>
  <si>
    <t>https://www.scopus.com/authid/detail.uri?authorId=57266023400</t>
  </si>
  <si>
    <t>https://www.scopus.com/authid/detail.uri?authorId=57213145027</t>
  </si>
  <si>
    <t>https://www.scopus.com/authid/detail.uri?authorId=57215057110</t>
  </si>
  <si>
    <t>https://www.scopus.com/authid/detail.uri?authorId=55313225200</t>
  </si>
  <si>
    <t>https://www.scopus.com/authid/detail.uri?authorId=57221635950</t>
  </si>
  <si>
    <t>https://www.scopus.com/authid/detail.uri?authorId=57196422953</t>
  </si>
  <si>
    <t>https://www.scopus.com/authid/detail.uri?authorId=57802653200</t>
  </si>
  <si>
    <t>https://www.scopus.com/authid/detail.uri?authorId=19933916100</t>
  </si>
  <si>
    <t>https://www.scopus.com/authid/detail.uri?authorId=57196419321</t>
  </si>
  <si>
    <t>https://www.scopus.com/authid/detail.uri?authorId=57191852404</t>
  </si>
  <si>
    <t>https://www.scopus.com/authid/detail.uri?authorId=57216297574</t>
  </si>
  <si>
    <t>https://www.scopus.com/authid/detail.uri?authorId=57217005053</t>
  </si>
  <si>
    <t>https://www.scopus.com/authid/detail.uri?authorId=57215071338</t>
  </si>
  <si>
    <t>https://www.scopus.com/authid/detail.uri?authorId=57215059002&amp;origin=resultslist</t>
  </si>
  <si>
    <t>https://www.scopus.com/authid/detail.uri?authorId=57210882908</t>
  </si>
  <si>
    <t>https://www.scopus.com/authid/detail.uri?authorId=58760887600</t>
  </si>
  <si>
    <t>https://www.scopus.com/authid/detail.uri?authorId=57836350800</t>
  </si>
  <si>
    <t>https://www.scopus.com/authid/detail.uri?authorId=57218502334</t>
  </si>
  <si>
    <t>https://www.scopus.com/authid/detail.uri?authorId=57191756246</t>
  </si>
  <si>
    <t>https://www.scopus.com/authid/detail.uri?authorId=57196419855</t>
  </si>
  <si>
    <t>https://www.scopus.com/authid/detail.uri?authorId=56468017900</t>
  </si>
  <si>
    <t>https://www.scopus.com/authid/detail.uri?authorId=57201326860</t>
  </si>
  <si>
    <t>https://www.scopus.com/authid/detail.uri?authorId=56467972400</t>
  </si>
  <si>
    <t>https://www.scopus.com/authid/detail.uri?authorId=57211278974</t>
  </si>
  <si>
    <t>https://www.scopus.com/authid/detail.uri?authorId=59394411900&amp;origin=resultslist</t>
  </si>
  <si>
    <t>https://www.scopus.com/authid/detail.uri?authorId=58348866200</t>
  </si>
  <si>
    <t>https://www.scopus.com/authid/detail.uri?authorId=57349456800</t>
  </si>
  <si>
    <t>https://www.scopus.com/authid/detail.uri?authorId=57210556357</t>
  </si>
  <si>
    <t>https://www.scopus.com/authid/detail.uri?authorId=57202443438</t>
  </si>
  <si>
    <t>https://www.scopus.com/authid/detail.uri?authorId=57202219647</t>
  </si>
  <si>
    <t>https://www.scopus.com/authid/detail.uri?authorId=57226095569</t>
  </si>
  <si>
    <t>https://www.scopus.com/authid/detail.uri?authorId=57205625799</t>
  </si>
  <si>
    <t>https://www.scopus.com/authid/detail.uri?authorId=59130615700</t>
  </si>
  <si>
    <t>https://www.scopus.com/authid/detail.uri?authorId=57211293351</t>
  </si>
  <si>
    <t>https://www.scopus.com/authid/detail.uri?authorId=54394965700</t>
  </si>
  <si>
    <t>https://www.scopus.com/authid/detail.uri?authorId=57194494788</t>
  </si>
  <si>
    <t>https://www.scopus.com/authid/detail.uri?authorId=57211626322</t>
  </si>
  <si>
    <t>https://www.scopus.com/authid/detail.uri?authorId=57203637296</t>
  </si>
  <si>
    <t>https://www.scopus.com/authid/detail.uri?authorId=56646430800</t>
  </si>
  <si>
    <t>https://www.scopus.com/authid/detail.uri?authorId=56467984000</t>
  </si>
  <si>
    <t>https://www.scopus.com/authid/detail.uri?authorId=59045378700</t>
  </si>
  <si>
    <t>https://www.scopus.com/authid/detail.uri?authorId=58505029000</t>
  </si>
  <si>
    <t>https://www.scopus.com/authid/detail.uri?authorId=57214988970</t>
  </si>
  <si>
    <t>https://www.scopus.com/authid/detail.uri?authorId=57209409880</t>
  </si>
  <si>
    <t>https://www.scopus.com/authid/detail.uri?authorId=59314239200&amp;origin=resultslist</t>
  </si>
  <si>
    <t>https://www.scopus.com/authid/detail.uri?authorId=57202869207</t>
  </si>
  <si>
    <t>https://www.scopus.com/authid/detail.uri?authorId=6503969851</t>
  </si>
  <si>
    <t>https://www.scopus.com/authid/detail.uri?authorId=58029316600</t>
  </si>
  <si>
    <t>https://www.scopus.com/authid/detail.uri?authorId=58034272200</t>
  </si>
  <si>
    <t>https://www.scopus.com/authid/detail.uri?authorId=24832940700</t>
  </si>
  <si>
    <t>MN</t>
  </si>
  <si>
    <t>https://www.scopus.com/authid/detail.uri?authorId=25823403000</t>
  </si>
  <si>
    <t>https://www.scopus.com/authid/detail.uri?authorId=57203394845</t>
  </si>
  <si>
    <t>https://www.scopus.com/authid/detail.uri?authorId=57211904303</t>
  </si>
  <si>
    <t>https://www.scopus.com/authid/detail.uri?authorId=57210930358</t>
  </si>
  <si>
    <t>https://www.scopus.com/authid/detail.uri?authorId=57201718428</t>
  </si>
  <si>
    <t>https://www.scopus.com/authid/detail.uri?authorId=57220839377</t>
  </si>
  <si>
    <t>https://www.scopus.com/authid/detail.uri?authorId=57189001672</t>
  </si>
  <si>
    <t>https://www.scopus.com/authid/detail.uri?authorId=57200127535</t>
  </si>
  <si>
    <t>https://www.scopus.com/authid/detail.uri?authorId=56069996900</t>
  </si>
  <si>
    <t>https://www.scopus.com/authid/detail.uri?authorId=56531671300</t>
  </si>
  <si>
    <t>https://www.scopus.com/authid/detail.uri?authorId=24833948700</t>
  </si>
  <si>
    <t>https://www.scopus.com/authid/detail.uri?authorId=57211584724</t>
  </si>
  <si>
    <t>https://www.scopus.com/authid/detail.uri?authorId=57210315804</t>
  </si>
  <si>
    <t>https://www.scopus.com/authid/detail.uri?authorId=59213916400</t>
  </si>
  <si>
    <t>https://www.scopus.com/authid/detail.uri?authorId=55490516000</t>
  </si>
  <si>
    <t>https://www.scopus.com/authid/detail.uri?authorId=57214103052</t>
  </si>
  <si>
    <t>https://www.scopus.com/authid/detail.uri?authorId=57216502832</t>
  </si>
  <si>
    <t>https://www.scopus.com/authid/detail.uri?authorId=57214673086</t>
  </si>
  <si>
    <t>https://www.scopus.com/authid/detail.uri?authorId=55313666100</t>
  </si>
  <si>
    <t>https://www.scopus.com/author/submit/profile.uri?authorId=57201581180&amp;origin=AuthorNamesList&amp;offset=1&amp;authorSt1=Sasikirono&amp;authorSt2=&amp;resultsKey=AUTH_1931268497</t>
  </si>
  <si>
    <t>https://www.scopus.com/authid/detail.uri?authorId=55806358100</t>
  </si>
  <si>
    <t>https://www.scopus.com/authid/detail.uri?authorId=58568376300&amp;origin=resultslist</t>
  </si>
  <si>
    <t>https://www.scopus.com/authid/detail.uri?authorId=57202822963</t>
  </si>
  <si>
    <t>https://www.scopus.com/authid/detail.uri?authorId=57225281436</t>
  </si>
  <si>
    <t>https://www.scopus.com/authid/detail.uri?authorId=57216301584</t>
  </si>
  <si>
    <t>https://www.scopus.com/authid/detail.uri?authorId=57426016200</t>
  </si>
  <si>
    <t>Afiliasi bukan UNAIR</t>
  </si>
  <si>
    <t>https://www.scopus.com/authid/detail.uri?authorId=57200968076</t>
  </si>
  <si>
    <t>https://www.scopus.com/authid/detail.uri?authorId=57217032131</t>
  </si>
  <si>
    <t>https://www.scopus.com/authid/detail.uri?authorId=57211022567</t>
  </si>
  <si>
    <t>https://www.scopus.com/authid/detail.uri?authorId=57214665368&amp;origin=resultslist</t>
  </si>
  <si>
    <t>https://www.scopus.com/authid/detail.uri?authorId=57214664996</t>
  </si>
  <si>
    <t>https://www.scopus.com/authid/detail.uri?authorId=57551455100&amp;origin=resultslist</t>
  </si>
  <si>
    <t>https://www.scopus.com/authid/detail.uri?authorId=59346970300&amp;origin=resultslist</t>
  </si>
  <si>
    <t>https://www.scopus.com/authid/detail.uri?authorId=37015568700</t>
  </si>
  <si>
    <t>https://www.scopus.com/authid/detail.uri?authorId=57209833859</t>
  </si>
  <si>
    <t>https://www.scopus.com/authid/detail.uri?authorId=57203635064</t>
  </si>
  <si>
    <t>https://www.scopus.com/authid/detail.uri?authorId=57194156735</t>
  </si>
  <si>
    <t>https://www.scopus.com/authid/detail.uri?authorId=57205295169</t>
  </si>
  <si>
    <t>https://www.scopus.com/authid/detail.uri?authorId=57208401861</t>
  </si>
  <si>
    <t>https://www.scopus.com/authid/detail.uri?authorId=57207942364</t>
  </si>
  <si>
    <t>https://www.scopus.com/authid/detail.uri?authorId=57195944492</t>
  </si>
  <si>
    <t>https://www.scopus.com/authid/detail.uri?authorId=57203111399</t>
  </si>
  <si>
    <t>https://www.scopus.com/authid/detail.uri?authorId=57203634032</t>
  </si>
  <si>
    <t>https://www.scopus.com/authid/detail.uri?authorId=57211787815</t>
  </si>
  <si>
    <t>https://www.scopus.com/authid/detail.uri?authorId=57203117624</t>
  </si>
  <si>
    <t>https://www.scopus.com/authid/detail.uri?authorId=58979281700&amp;origin=resultslist</t>
  </si>
  <si>
    <t>https://www.scopus.com/authid/detail.uri?authorId=57212536287</t>
  </si>
  <si>
    <t>https://www.scopus.com/authid/detail.uri?authorId=57375291800</t>
  </si>
  <si>
    <t>https://www.scopus.com/authid/detail.uri?authorId=57210744972</t>
  </si>
  <si>
    <t>https://www.scopus.com/authid/detail.uri?authorId=58237295100</t>
  </si>
  <si>
    <t>https://www.scopus.com/authid/detail.uri?authorId=57212559947</t>
  </si>
  <si>
    <t>https://www.scopus.com/authid/detail.uri?authorId=57850401200</t>
  </si>
  <si>
    <t>https://www.scopus.com/authid/detail.uri?authorId=57216240353</t>
  </si>
  <si>
    <t>https://www.scopus.com/authid/detail.uri?authorId=57215036399</t>
  </si>
  <si>
    <t>https://www.scopus.com/authid/detail.uri?authorId=55776880200</t>
  </si>
  <si>
    <t>https://www.scopus.com/authid/detail.uri?authorId=57196425241</t>
  </si>
  <si>
    <t>https://www.scopus.com/authid/detail.uri?authorId=59712355800</t>
  </si>
  <si>
    <t>https://www.scopus.com/authid/detail.uri?authorId=57216859123</t>
  </si>
  <si>
    <t>https://www.scopus.com/authid/detail.uri?authorId=57204601721</t>
  </si>
  <si>
    <t>https://www.scopus.com/authid/detail.uri?authorId=58972723100</t>
  </si>
  <si>
    <t>https://www.scopus.com/authid/detail.uri?authorId=58808737400</t>
  </si>
  <si>
    <t>https://www.scopus.com/authid/detail.uri?authorId=57215053855</t>
  </si>
  <si>
    <t>https://www.scopus.com/authid/detail.uri?authorId=57215047310</t>
  </si>
  <si>
    <t>https://www.scopus.com/authid/detail.uri?authorId=59252188700&amp;origin=recordpage</t>
  </si>
  <si>
    <t>https://www.scopus.com/authid/detail.uri?authorId=58786599900&amp;origin=recordpage</t>
  </si>
  <si>
    <t>https://www.scopus.com/authid/detail.uri?authorId=58652664200&amp;origin=resultslist</t>
  </si>
  <si>
    <t>https://www.scopus.com/authid/detail.uri?authorId=59455065200</t>
  </si>
  <si>
    <t>https://www.scopus.com/authid/detail.uri?authorId=57428099600&amp;origin=resultslist</t>
  </si>
  <si>
    <t>https://www.scopus.com/authid/detail.uri?authorId=59393773900&amp;origin=resultslist</t>
  </si>
  <si>
    <t>https://www.scopus.com/authid/detail.uri?authorId=58093697700&amp;origin=resultslist</t>
  </si>
  <si>
    <t>https://www.scopus.com/authid/detail.uri?authorId=58889353800</t>
  </si>
  <si>
    <t>Akuntansi</t>
  </si>
  <si>
    <t>Ilmu Ekonomi</t>
  </si>
  <si>
    <t>Manajemen</t>
  </si>
  <si>
    <t>https://www.scopus.com/authid/detail.uri?authorId=57211501880</t>
  </si>
  <si>
    <t>https://www.scopus.com/authid/detail.uri?authorId=57216240487</t>
  </si>
  <si>
    <t>https://www.scopus.com/authid/detail.uri?authorId=57946118000</t>
  </si>
  <si>
    <t>TOTAL INCLUDE</t>
  </si>
  <si>
    <t>TOTAL EXCLUDE</t>
  </si>
  <si>
    <t>TOTAL INCLUDE 2025</t>
  </si>
  <si>
    <t>TOTAL EXCLUDE 2025</t>
  </si>
  <si>
    <t>https://www.scopus.com/authid/detail.uri?authorId=59500284500&amp;origin=resultslist</t>
  </si>
  <si>
    <t>Belum memiliki akun SCOPUS</t>
  </si>
  <si>
    <t>Departemen</t>
  </si>
  <si>
    <t>Keterangan</t>
  </si>
  <si>
    <t>https://www.scopus.com/authid/detail.uri?authorId=57220087417</t>
  </si>
  <si>
    <t>Prof. Dr. Zaenal Fanani, SE., MSA., Ak.</t>
  </si>
  <si>
    <t>Prof. Dr. Hamidah, Dra., M.Si., Ak.</t>
  </si>
  <si>
    <t>Prof. Dr. Ardianto, SE., M.Si., Ak.</t>
  </si>
  <si>
    <t>Dr. Khusnul Prasetyo, SE., MM., Ak.</t>
  </si>
  <si>
    <t>Dr. Sigit Kurnianto, S.E., M.SA.</t>
  </si>
  <si>
    <t>Arif Firmansyah, SE., MM., Ph.D.</t>
  </si>
  <si>
    <t>Dr. Siti Inayatul Faizah, S.Ag., M.Si., M.EI.</t>
  </si>
  <si>
    <t>Prof. Dr. Unggul Heriqbaldi, SE., M.Si., M.App.Ec.</t>
  </si>
  <si>
    <t>Prof. Dr. Lilik Sugiharti, SE., M.Si.</t>
  </si>
  <si>
    <t>Prof. Dian Ekowati, SE., M.Si., M.App.Com.(OrgChg)., Ph.D.</t>
  </si>
  <si>
    <t>Rahmat Heru Setianto, S.E., M.Sc., Ph.D.</t>
  </si>
  <si>
    <t>Raras Kirana Wandira, SE., MBA., MM., Ph.D..</t>
  </si>
  <si>
    <t>Dr. Puji Sucia Sukmaningrum, S.E., CIFP.</t>
  </si>
  <si>
    <t>Eko Fajar Cahyono, S.E., M.E.</t>
  </si>
  <si>
    <t>EI</t>
  </si>
  <si>
    <t>Self Citation</t>
  </si>
  <si>
    <t>Exclude</t>
  </si>
  <si>
    <t>https://www.scopus.com/authid/detail.uri?authorId=60404462800&amp;origin=recordpage</t>
  </si>
  <si>
    <t>https://www.scopus.com/authid/detail.uri?authorId=60215105200&amp;origin=recordpage</t>
  </si>
  <si>
    <t>https://www.scopus.com/authid/detail.uri?authorId=60233153100&amp;origin=recordpage</t>
  </si>
  <si>
    <t>https://www.scopus.com/authid/detail.uri?authorId=60354430600&amp;origin=recordpage</t>
  </si>
  <si>
    <t>https://www.scopus.com/authid/detail.uri?authorId=57212274245&amp;origin=resultslist</t>
  </si>
  <si>
    <t>https://www.scopus.com/authid/detail.uri?authorId=56206005900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</si>
</sst>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</font>
    <font>
      <b/>
      <sz val="10"/>
      <color rgb="FF000000"/>
      <name val="Arial"/>
      <family val="2"/>
    </font>
    <font>
      <sz val="12"/>
      <color rgb="FF000000"/>
      <name val="Arial Narrow"/>
      <family val="2"/>
    </font>
    <font>
      <sz val="10"/>
      <color rgb="FF000000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rgb="FF000000"/>
      <name val="Arial"/>
      <family val="2"/>
    </font>
    <font>
      <b/>
      <sz val="12"/>
      <color rgb="FF000000"/>
      <name val="Arial Narrow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u/>
      <sz val="10"/>
      <color theme="10"/>
      <name val="Arial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8" fillId="0" borderId="0" xfId="0" applyFont="1"/>
    <xf numFmtId="0" fontId="6" fillId="0" borderId="1" xfId="0" applyFont="1" applyBorder="1" applyAlignment="1">
      <alignment horizontal="left" vertical="center"/>
    </xf>
    <xf numFmtId="0" fontId="2" fillId="0" borderId="0" xfId="0" applyFont="1"/>
    <xf numFmtId="0" fontId="5" fillId="0" borderId="1" xfId="0" quotePrefix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0" fillId="2" borderId="0" xfId="0" applyFill="1"/>
    <xf numFmtId="0" fontId="2" fillId="0" borderId="0" xfId="0" applyFont="1" applyAlignment="1">
      <alignment horizontal="center"/>
    </xf>
    <xf numFmtId="0" fontId="1" fillId="0" borderId="0" xfId="0" applyFont="1"/>
    <xf numFmtId="0" fontId="5" fillId="2" borderId="1" xfId="0" quotePrefix="1" applyFont="1" applyFill="1" applyBorder="1" applyAlignment="1">
      <alignment horizontal="center" vertical="center"/>
    </xf>
    <xf numFmtId="0" fontId="5" fillId="3" borderId="1" xfId="0" quotePrefix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0" fillId="3" borderId="0" xfId="0" applyFill="1"/>
    <xf numFmtId="0" fontId="5" fillId="3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/>
    <xf numFmtId="0" fontId="9" fillId="0" borderId="1" xfId="0" applyFont="1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12" fillId="0" borderId="1" xfId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12" fillId="0" borderId="1" xfId="1" applyFill="1" applyBorder="1" applyAlignment="1">
      <alignment wrapText="1"/>
    </xf>
    <xf numFmtId="0" fontId="12" fillId="3" borderId="1" xfId="1" applyFill="1" applyBorder="1" applyAlignment="1">
      <alignment wrapText="1"/>
    </xf>
    <xf numFmtId="0" fontId="12" fillId="0" borderId="0" xfId="1" applyAlignment="1">
      <alignment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opus.com/authid/detail.uri?authorId=57214677631" TargetMode="External"/><Relationship Id="rId18" Type="http://schemas.openxmlformats.org/officeDocument/2006/relationships/hyperlink" Target="https://www.scopus.com/authid/detail.uri?authorId=57229954600" TargetMode="External"/><Relationship Id="rId26" Type="http://schemas.openxmlformats.org/officeDocument/2006/relationships/hyperlink" Target="https://www.scopus.com/authid/detail.uri?authorId=57885905300" TargetMode="External"/><Relationship Id="rId39" Type="http://schemas.openxmlformats.org/officeDocument/2006/relationships/hyperlink" Target="https://www.scopus.com/authid/detail.uri?authorId=19933916100" TargetMode="External"/><Relationship Id="rId21" Type="http://schemas.openxmlformats.org/officeDocument/2006/relationships/hyperlink" Target="https://www.scopus.com/authid/detail.uri?authorId=57207298735" TargetMode="External"/><Relationship Id="rId34" Type="http://schemas.openxmlformats.org/officeDocument/2006/relationships/hyperlink" Target="https://www.scopus.com/authid/detail.uri?authorId=57215057110" TargetMode="External"/><Relationship Id="rId42" Type="http://schemas.openxmlformats.org/officeDocument/2006/relationships/hyperlink" Target="https://www.scopus.com/authid/detail.uri?authorId=57220087417" TargetMode="External"/><Relationship Id="rId47" Type="http://schemas.openxmlformats.org/officeDocument/2006/relationships/hyperlink" Target="https://www.scopus.com/authid/detail.uri?authorId=58760887600" TargetMode="External"/><Relationship Id="rId7" Type="http://schemas.openxmlformats.org/officeDocument/2006/relationships/hyperlink" Target="https://www.scopus.com/authid/detail.uri?authorId=57195996932" TargetMode="External"/><Relationship Id="rId2" Type="http://schemas.openxmlformats.org/officeDocument/2006/relationships/hyperlink" Target="https://www.scopus.com/authid/detail.uri?authorId=60215105200&amp;origin=recordpage" TargetMode="External"/><Relationship Id="rId16" Type="http://schemas.openxmlformats.org/officeDocument/2006/relationships/hyperlink" Target="https://www.scopus.com/authid/detail.uri?authorId=57202446002" TargetMode="External"/><Relationship Id="rId29" Type="http://schemas.openxmlformats.org/officeDocument/2006/relationships/hyperlink" Target="https://www.scopus.com/authid/detail.uri?authorId=57199327980" TargetMode="External"/><Relationship Id="rId11" Type="http://schemas.openxmlformats.org/officeDocument/2006/relationships/hyperlink" Target="https://www.scopus.com/authid/detail.uri?authorId=57203927339" TargetMode="External"/><Relationship Id="rId24" Type="http://schemas.openxmlformats.org/officeDocument/2006/relationships/hyperlink" Target="https://www.scopus.com/authid/detail.uri?authorId=57237998600" TargetMode="External"/><Relationship Id="rId32" Type="http://schemas.openxmlformats.org/officeDocument/2006/relationships/hyperlink" Target="https://www.scopus.com/authid/detail.uri?authorId=57266023400" TargetMode="External"/><Relationship Id="rId37" Type="http://schemas.openxmlformats.org/officeDocument/2006/relationships/hyperlink" Target="https://www.scopus.com/authid/detail.uri?authorId=57196422953" TargetMode="External"/><Relationship Id="rId40" Type="http://schemas.openxmlformats.org/officeDocument/2006/relationships/hyperlink" Target="https://www.scopus.com/authid/detail.uri?authorId=57196419321" TargetMode="External"/><Relationship Id="rId45" Type="http://schemas.openxmlformats.org/officeDocument/2006/relationships/hyperlink" Target="https://www.scopus.com/authid/detail.uri?authorId=57215071338" TargetMode="External"/><Relationship Id="rId5" Type="http://schemas.openxmlformats.org/officeDocument/2006/relationships/hyperlink" Target="https://www.scopus.com/authid/detail.uri?authorId=57191278873" TargetMode="External"/><Relationship Id="rId15" Type="http://schemas.openxmlformats.org/officeDocument/2006/relationships/hyperlink" Target="https://www.scopus.com/authid/detail.uri?authorId=57205193060" TargetMode="External"/><Relationship Id="rId23" Type="http://schemas.openxmlformats.org/officeDocument/2006/relationships/hyperlink" Target="https://www.scopus.com/authid/detail.uri?authorId=57216769878" TargetMode="External"/><Relationship Id="rId28" Type="http://schemas.openxmlformats.org/officeDocument/2006/relationships/hyperlink" Target="https://www.scopus.com/authid/detail.uri?authorId=57110451200" TargetMode="External"/><Relationship Id="rId36" Type="http://schemas.openxmlformats.org/officeDocument/2006/relationships/hyperlink" Target="https://www.scopus.com/authid/detail.uri?authorId=57221635950" TargetMode="External"/><Relationship Id="rId49" Type="http://schemas.openxmlformats.org/officeDocument/2006/relationships/hyperlink" Target="https://www.scopus.com/authid/detail.uri?authorId=57836350800" TargetMode="External"/><Relationship Id="rId10" Type="http://schemas.openxmlformats.org/officeDocument/2006/relationships/hyperlink" Target="https://www.scopus.com/authid/detail.uri?authorId=57217185371" TargetMode="External"/><Relationship Id="rId19" Type="http://schemas.openxmlformats.org/officeDocument/2006/relationships/hyperlink" Target="https://www.scopus.com/authid/detail.uri?authorId=57210743394" TargetMode="External"/><Relationship Id="rId31" Type="http://schemas.openxmlformats.org/officeDocument/2006/relationships/hyperlink" Target="https://www.scopus.com/authid/detail.uri?authorId=57217217747" TargetMode="External"/><Relationship Id="rId44" Type="http://schemas.openxmlformats.org/officeDocument/2006/relationships/hyperlink" Target="https://www.scopus.com/authid/detail.uri?authorId=57217005053" TargetMode="External"/><Relationship Id="rId4" Type="http://schemas.openxmlformats.org/officeDocument/2006/relationships/hyperlink" Target="https://www.scopus.com/authid/detail.uri?authorId=60354430600&amp;origin=recordpage" TargetMode="External"/><Relationship Id="rId9" Type="http://schemas.openxmlformats.org/officeDocument/2006/relationships/hyperlink" Target="https://www.scopus.com/authid/detail.uri?authorId=57209289256" TargetMode="External"/><Relationship Id="rId14" Type="http://schemas.openxmlformats.org/officeDocument/2006/relationships/hyperlink" Target="https://www.scopus.com/authid/detail.uri?authorId=57211528494" TargetMode="External"/><Relationship Id="rId22" Type="http://schemas.openxmlformats.org/officeDocument/2006/relationships/hyperlink" Target="https://www.scopus.com/authid/detail.uri?authorId=57572579800" TargetMode="External"/><Relationship Id="rId27" Type="http://schemas.openxmlformats.org/officeDocument/2006/relationships/hyperlink" Target="https://www.scopus.com/authid/detail.uri?authorId=57211553820" TargetMode="External"/><Relationship Id="rId30" Type="http://schemas.openxmlformats.org/officeDocument/2006/relationships/hyperlink" Target="https://www.scopus.com/authid/detail.uri?authorId=57204861958" TargetMode="External"/><Relationship Id="rId35" Type="http://schemas.openxmlformats.org/officeDocument/2006/relationships/hyperlink" Target="https://www.scopus.com/authid/detail.uri?authorId=55313225200" TargetMode="External"/><Relationship Id="rId43" Type="http://schemas.openxmlformats.org/officeDocument/2006/relationships/hyperlink" Target="https://www.scopus.com/authid/detail.uri?authorId=57216297574" TargetMode="External"/><Relationship Id="rId48" Type="http://schemas.openxmlformats.org/officeDocument/2006/relationships/hyperlink" Target="https://www.scopus.com/authid/detail.uri?authorId=57215059002&amp;origin=resultslist" TargetMode="External"/><Relationship Id="rId8" Type="http://schemas.openxmlformats.org/officeDocument/2006/relationships/hyperlink" Target="https://www.scopus.com/authid/detail.uri?authorId=57210152258" TargetMode="External"/><Relationship Id="rId3" Type="http://schemas.openxmlformats.org/officeDocument/2006/relationships/hyperlink" Target="https://www.scopus.com/authid/detail.uri?authorId=60233153100&amp;origin=recordpage" TargetMode="External"/><Relationship Id="rId12" Type="http://schemas.openxmlformats.org/officeDocument/2006/relationships/hyperlink" Target="https://www.scopus.com/authid/detail.uri?authorId=57191762412" TargetMode="External"/><Relationship Id="rId17" Type="http://schemas.openxmlformats.org/officeDocument/2006/relationships/hyperlink" Target="https://www.scopus.com/authid/detail.uri?authorId=57214675298" TargetMode="External"/><Relationship Id="rId25" Type="http://schemas.openxmlformats.org/officeDocument/2006/relationships/hyperlink" Target="https://www.scopus.com/authid/detail.uri?authorId=59426968600" TargetMode="External"/><Relationship Id="rId33" Type="http://schemas.openxmlformats.org/officeDocument/2006/relationships/hyperlink" Target="https://www.scopus.com/authid/detail.uri?authorId=57213145027" TargetMode="External"/><Relationship Id="rId38" Type="http://schemas.openxmlformats.org/officeDocument/2006/relationships/hyperlink" Target="https://www.scopus.com/authid/detail.uri?authorId=57802653200" TargetMode="External"/><Relationship Id="rId46" Type="http://schemas.openxmlformats.org/officeDocument/2006/relationships/hyperlink" Target="https://www.scopus.com/authid/detail.uri?authorId=57210882908" TargetMode="External"/><Relationship Id="rId20" Type="http://schemas.openxmlformats.org/officeDocument/2006/relationships/hyperlink" Target="https://www.scopus.com/authid/detail.uri?authorId=57215877263" TargetMode="External"/><Relationship Id="rId41" Type="http://schemas.openxmlformats.org/officeDocument/2006/relationships/hyperlink" Target="https://www.scopus.com/authid/detail.uri?authorId=57191852404" TargetMode="External"/><Relationship Id="rId1" Type="http://schemas.openxmlformats.org/officeDocument/2006/relationships/hyperlink" Target="https://www.scopus.com/authid/detail.uri?authorId=60404462800&amp;origin=recordpage" TargetMode="External"/><Relationship Id="rId6" Type="http://schemas.openxmlformats.org/officeDocument/2006/relationships/hyperlink" Target="https://www.scopus.com/authid/detail.uri?authorId=57196192693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opus.com/authid/detail.uri?authorId=57211278974" TargetMode="External"/><Relationship Id="rId13" Type="http://schemas.openxmlformats.org/officeDocument/2006/relationships/hyperlink" Target="https://www.scopus.com/authid/detail.uri?authorId=57202443438" TargetMode="External"/><Relationship Id="rId18" Type="http://schemas.openxmlformats.org/officeDocument/2006/relationships/hyperlink" Target="https://www.scopus.com/authid/detail.uri?authorId=57211293351" TargetMode="External"/><Relationship Id="rId26" Type="http://schemas.openxmlformats.org/officeDocument/2006/relationships/hyperlink" Target="https://www.scopus.com/authid/detail.uri?authorId=57214988970" TargetMode="External"/><Relationship Id="rId3" Type="http://schemas.openxmlformats.org/officeDocument/2006/relationships/hyperlink" Target="https://www.scopus.com/authid/detail.uri?authorId=57191756246" TargetMode="External"/><Relationship Id="rId21" Type="http://schemas.openxmlformats.org/officeDocument/2006/relationships/hyperlink" Target="https://www.scopus.com/authid/detail.uri?authorId=57203637296" TargetMode="External"/><Relationship Id="rId7" Type="http://schemas.openxmlformats.org/officeDocument/2006/relationships/hyperlink" Target="https://www.scopus.com/authid/detail.uri?authorId=56467972400" TargetMode="External"/><Relationship Id="rId12" Type="http://schemas.openxmlformats.org/officeDocument/2006/relationships/hyperlink" Target="https://www.scopus.com/authid/detail.uri?authorId=57210556357" TargetMode="External"/><Relationship Id="rId17" Type="http://schemas.openxmlformats.org/officeDocument/2006/relationships/hyperlink" Target="https://www.scopus.com/authid/detail.uri?authorId=59130615700" TargetMode="External"/><Relationship Id="rId25" Type="http://schemas.openxmlformats.org/officeDocument/2006/relationships/hyperlink" Target="https://www.scopus.com/authid/detail.uri?authorId=58505029000" TargetMode="External"/><Relationship Id="rId2" Type="http://schemas.openxmlformats.org/officeDocument/2006/relationships/hyperlink" Target="https://www.scopus.com/authid/detail.uri?authorId=57218502334" TargetMode="External"/><Relationship Id="rId16" Type="http://schemas.openxmlformats.org/officeDocument/2006/relationships/hyperlink" Target="https://www.scopus.com/authid/detail.uri?authorId=57205625799" TargetMode="External"/><Relationship Id="rId20" Type="http://schemas.openxmlformats.org/officeDocument/2006/relationships/hyperlink" Target="https://www.scopus.com/authid/detail.uri?authorId=57211626322" TargetMode="External"/><Relationship Id="rId29" Type="http://schemas.openxmlformats.org/officeDocument/2006/relationships/hyperlink" Target="https://www.scopus.com/authid/detail.uri?authorId=57202869207" TargetMode="External"/><Relationship Id="rId1" Type="http://schemas.openxmlformats.org/officeDocument/2006/relationships/hyperlink" Target="https://www.scopus.com/authid/detail.uri?authorId=54394965700" TargetMode="External"/><Relationship Id="rId6" Type="http://schemas.openxmlformats.org/officeDocument/2006/relationships/hyperlink" Target="https://www.scopus.com/authid/detail.uri?authorId=57201326860" TargetMode="External"/><Relationship Id="rId11" Type="http://schemas.openxmlformats.org/officeDocument/2006/relationships/hyperlink" Target="https://www.scopus.com/authid/detail.uri?authorId=57349456800" TargetMode="External"/><Relationship Id="rId24" Type="http://schemas.openxmlformats.org/officeDocument/2006/relationships/hyperlink" Target="https://www.scopus.com/authid/detail.uri?authorId=59045378700" TargetMode="External"/><Relationship Id="rId32" Type="http://schemas.openxmlformats.org/officeDocument/2006/relationships/hyperlink" Target="https://www.scopus.com/authid/detail.uri?authorId=58034272200" TargetMode="External"/><Relationship Id="rId5" Type="http://schemas.openxmlformats.org/officeDocument/2006/relationships/hyperlink" Target="https://www.scopus.com/authid/detail.uri?authorId=56468017900" TargetMode="External"/><Relationship Id="rId15" Type="http://schemas.openxmlformats.org/officeDocument/2006/relationships/hyperlink" Target="https://www.scopus.com/authid/detail.uri?authorId=57226095569" TargetMode="External"/><Relationship Id="rId23" Type="http://schemas.openxmlformats.org/officeDocument/2006/relationships/hyperlink" Target="https://www.scopus.com/authid/detail.uri?authorId=56467984000" TargetMode="External"/><Relationship Id="rId28" Type="http://schemas.openxmlformats.org/officeDocument/2006/relationships/hyperlink" Target="https://www.scopus.com/authid/detail.uri?authorId=59314239200&amp;origin=resultslist" TargetMode="External"/><Relationship Id="rId10" Type="http://schemas.openxmlformats.org/officeDocument/2006/relationships/hyperlink" Target="https://www.scopus.com/authid/detail.uri?authorId=58348866200" TargetMode="External"/><Relationship Id="rId19" Type="http://schemas.openxmlformats.org/officeDocument/2006/relationships/hyperlink" Target="https://www.scopus.com/authid/detail.uri?authorId=57194494788" TargetMode="External"/><Relationship Id="rId31" Type="http://schemas.openxmlformats.org/officeDocument/2006/relationships/hyperlink" Target="https://www.scopus.com/authid/detail.uri?authorId=58029316600" TargetMode="External"/><Relationship Id="rId4" Type="http://schemas.openxmlformats.org/officeDocument/2006/relationships/hyperlink" Target="https://www.scopus.com/authid/detail.uri?authorId=57196419855" TargetMode="External"/><Relationship Id="rId9" Type="http://schemas.openxmlformats.org/officeDocument/2006/relationships/hyperlink" Target="https://www.scopus.com/authid/detail.uri?authorId=59394411900&amp;origin=resultslist" TargetMode="External"/><Relationship Id="rId14" Type="http://schemas.openxmlformats.org/officeDocument/2006/relationships/hyperlink" Target="https://www.scopus.com/authid/detail.uri?authorId=57202219647" TargetMode="External"/><Relationship Id="rId22" Type="http://schemas.openxmlformats.org/officeDocument/2006/relationships/hyperlink" Target="https://www.scopus.com/authid/detail.uri?authorId=56646430800" TargetMode="External"/><Relationship Id="rId27" Type="http://schemas.openxmlformats.org/officeDocument/2006/relationships/hyperlink" Target="https://www.scopus.com/authid/detail.uri?authorId=57209409880" TargetMode="External"/><Relationship Id="rId30" Type="http://schemas.openxmlformats.org/officeDocument/2006/relationships/hyperlink" Target="https://www.scopus.com/authid/detail.uri?authorId=6503969851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opus.com/authid/detail.uri?authorId=24833948700" TargetMode="External"/><Relationship Id="rId18" Type="http://schemas.openxmlformats.org/officeDocument/2006/relationships/hyperlink" Target="https://www.scopus.com/authid/detail.uri?authorId=57214103052" TargetMode="External"/><Relationship Id="rId26" Type="http://schemas.openxmlformats.org/officeDocument/2006/relationships/hyperlink" Target="https://www.scopus.com/authid/detail.uri?authorId=57225281436" TargetMode="External"/><Relationship Id="rId3" Type="http://schemas.openxmlformats.org/officeDocument/2006/relationships/hyperlink" Target="https://www.scopus.com/authid/detail.uri?authorId=25823403000" TargetMode="External"/><Relationship Id="rId21" Type="http://schemas.openxmlformats.org/officeDocument/2006/relationships/hyperlink" Target="https://www.scopus.com/authid/detail.uri?authorId=55313666100" TargetMode="External"/><Relationship Id="rId34" Type="http://schemas.openxmlformats.org/officeDocument/2006/relationships/hyperlink" Target="https://www.scopus.com/authid/detail.uri?authorId=57551455100&amp;origin=resultslist" TargetMode="External"/><Relationship Id="rId7" Type="http://schemas.openxmlformats.org/officeDocument/2006/relationships/hyperlink" Target="https://www.scopus.com/authid/detail.uri?authorId=57201718428" TargetMode="External"/><Relationship Id="rId12" Type="http://schemas.openxmlformats.org/officeDocument/2006/relationships/hyperlink" Target="https://www.scopus.com/authid/detail.uri?authorId=56531671300" TargetMode="External"/><Relationship Id="rId17" Type="http://schemas.openxmlformats.org/officeDocument/2006/relationships/hyperlink" Target="https://www.scopus.com/authid/detail.uri?authorId=55490516000" TargetMode="External"/><Relationship Id="rId25" Type="http://schemas.openxmlformats.org/officeDocument/2006/relationships/hyperlink" Target="https://www.scopus.com/authid/detail.uri?authorId=57202822963" TargetMode="External"/><Relationship Id="rId33" Type="http://schemas.openxmlformats.org/officeDocument/2006/relationships/hyperlink" Target="https://www.scopus.com/authid/detail.uri?authorId=57214664996" TargetMode="External"/><Relationship Id="rId2" Type="http://schemas.openxmlformats.org/officeDocument/2006/relationships/hyperlink" Target="https://www.scopus.com/authid/detail.uri?authorId=24832940700" TargetMode="External"/><Relationship Id="rId16" Type="http://schemas.openxmlformats.org/officeDocument/2006/relationships/hyperlink" Target="https://www.scopus.com/authid/detail.uri?authorId=59213916400" TargetMode="External"/><Relationship Id="rId20" Type="http://schemas.openxmlformats.org/officeDocument/2006/relationships/hyperlink" Target="https://www.scopus.com/authid/detail.uri?authorId=57214673086" TargetMode="External"/><Relationship Id="rId29" Type="http://schemas.openxmlformats.org/officeDocument/2006/relationships/hyperlink" Target="https://www.scopus.com/authid/detail.uri?authorId=57200968076" TargetMode="External"/><Relationship Id="rId1" Type="http://schemas.openxmlformats.org/officeDocument/2006/relationships/hyperlink" Target="https://www.scopus.com/authid/detail.uri?authorId=57212274245&amp;origin=resultslist" TargetMode="External"/><Relationship Id="rId6" Type="http://schemas.openxmlformats.org/officeDocument/2006/relationships/hyperlink" Target="https://www.scopus.com/authid/detail.uri?authorId=57210930358" TargetMode="External"/><Relationship Id="rId11" Type="http://schemas.openxmlformats.org/officeDocument/2006/relationships/hyperlink" Target="https://www.scopus.com/authid/detail.uri?authorId=56069996900" TargetMode="External"/><Relationship Id="rId24" Type="http://schemas.openxmlformats.org/officeDocument/2006/relationships/hyperlink" Target="https://www.scopus.com/authid/detail.uri?authorId=58568376300&amp;origin=resultslist" TargetMode="External"/><Relationship Id="rId32" Type="http://schemas.openxmlformats.org/officeDocument/2006/relationships/hyperlink" Target="https://www.scopus.com/authid/detail.uri?authorId=57214665368&amp;origin=resultslist" TargetMode="External"/><Relationship Id="rId5" Type="http://schemas.openxmlformats.org/officeDocument/2006/relationships/hyperlink" Target="https://www.scopus.com/authid/detail.uri?authorId=57211904303" TargetMode="External"/><Relationship Id="rId15" Type="http://schemas.openxmlformats.org/officeDocument/2006/relationships/hyperlink" Target="https://www.scopus.com/authid/detail.uri?authorId=57210315804" TargetMode="External"/><Relationship Id="rId23" Type="http://schemas.openxmlformats.org/officeDocument/2006/relationships/hyperlink" Target="https://www.scopus.com/authid/detail.uri?authorId=55806358100" TargetMode="External"/><Relationship Id="rId28" Type="http://schemas.openxmlformats.org/officeDocument/2006/relationships/hyperlink" Target="https://www.scopus.com/authid/detail.uri?authorId=57216301584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www.scopus.com/authid/detail.uri?authorId=57200127535" TargetMode="External"/><Relationship Id="rId19" Type="http://schemas.openxmlformats.org/officeDocument/2006/relationships/hyperlink" Target="https://www.scopus.com/authid/detail.uri?authorId=57216502832" TargetMode="External"/><Relationship Id="rId31" Type="http://schemas.openxmlformats.org/officeDocument/2006/relationships/hyperlink" Target="https://www.scopus.com/authid/detail.uri?authorId=57211022567" TargetMode="External"/><Relationship Id="rId4" Type="http://schemas.openxmlformats.org/officeDocument/2006/relationships/hyperlink" Target="https://www.scopus.com/authid/detail.uri?authorId=57203394845" TargetMode="External"/><Relationship Id="rId9" Type="http://schemas.openxmlformats.org/officeDocument/2006/relationships/hyperlink" Target="https://www.scopus.com/authid/detail.uri?authorId=57189001672" TargetMode="External"/><Relationship Id="rId14" Type="http://schemas.openxmlformats.org/officeDocument/2006/relationships/hyperlink" Target="https://www.scopus.com/authid/detail.uri?authorId=57211584724" TargetMode="External"/><Relationship Id="rId22" Type="http://schemas.openxmlformats.org/officeDocument/2006/relationships/hyperlink" Target="https://www.scopus.com/author/submit/profile.uri?authorId=57201581180&amp;origin=AuthorNamesList&amp;offset=1&amp;authorSt1=Sasikirono&amp;authorSt2=&amp;resultsKey=AUTH_1931268497" TargetMode="External"/><Relationship Id="rId27" Type="http://schemas.openxmlformats.org/officeDocument/2006/relationships/hyperlink" Target="https://www.scopus.com/authid/detail.uri?authorId=57426016200" TargetMode="External"/><Relationship Id="rId30" Type="http://schemas.openxmlformats.org/officeDocument/2006/relationships/hyperlink" Target="https://www.scopus.com/authid/detail.uri?authorId=57217032131" TargetMode="External"/><Relationship Id="rId35" Type="http://schemas.openxmlformats.org/officeDocument/2006/relationships/hyperlink" Target="https://www.scopus.com/authid/detail.uri?authorId=59346970300&amp;origin=resultslist" TargetMode="External"/><Relationship Id="rId8" Type="http://schemas.openxmlformats.org/officeDocument/2006/relationships/hyperlink" Target="https://www.scopus.com/authid/detail.uri?authorId=57220839377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opus.com/authid/detail.uri?authorId=57203117624" TargetMode="External"/><Relationship Id="rId18" Type="http://schemas.openxmlformats.org/officeDocument/2006/relationships/hyperlink" Target="https://www.scopus.com/authid/detail.uri?authorId=57850401200" TargetMode="External"/><Relationship Id="rId26" Type="http://schemas.openxmlformats.org/officeDocument/2006/relationships/hyperlink" Target="https://www.scopus.com/authid/detail.uri?authorId=57204601721" TargetMode="External"/><Relationship Id="rId3" Type="http://schemas.openxmlformats.org/officeDocument/2006/relationships/hyperlink" Target="https://www.scopus.com/authid/detail.uri?authorId=57209833859" TargetMode="External"/><Relationship Id="rId21" Type="http://schemas.openxmlformats.org/officeDocument/2006/relationships/hyperlink" Target="https://www.scopus.com/authid/detail.uri?authorId=55776880200" TargetMode="External"/><Relationship Id="rId34" Type="http://schemas.openxmlformats.org/officeDocument/2006/relationships/printerSettings" Target="../printerSettings/printerSettings2.bin"/><Relationship Id="rId7" Type="http://schemas.openxmlformats.org/officeDocument/2006/relationships/hyperlink" Target="https://www.scopus.com/authid/detail.uri?authorId=57208401861" TargetMode="External"/><Relationship Id="rId12" Type="http://schemas.openxmlformats.org/officeDocument/2006/relationships/hyperlink" Target="https://www.scopus.com/authid/detail.uri?authorId=57211787815" TargetMode="External"/><Relationship Id="rId17" Type="http://schemas.openxmlformats.org/officeDocument/2006/relationships/hyperlink" Target="https://www.scopus.com/authid/detail.uri?authorId=57212559947" TargetMode="External"/><Relationship Id="rId25" Type="http://schemas.openxmlformats.org/officeDocument/2006/relationships/hyperlink" Target="https://www.scopus.com/authid/detail.uri?authorId=57216859123" TargetMode="External"/><Relationship Id="rId33" Type="http://schemas.openxmlformats.org/officeDocument/2006/relationships/hyperlink" Target="https://www.scopus.com/authid/detail.uri?authorId=57946118000" TargetMode="External"/><Relationship Id="rId2" Type="http://schemas.openxmlformats.org/officeDocument/2006/relationships/hyperlink" Target="https://www.scopus.com/authid/detail.uri?authorId=37015568700" TargetMode="External"/><Relationship Id="rId16" Type="http://schemas.openxmlformats.org/officeDocument/2006/relationships/hyperlink" Target="https://www.scopus.com/authid/detail.uri?authorId=57210744972" TargetMode="External"/><Relationship Id="rId20" Type="http://schemas.openxmlformats.org/officeDocument/2006/relationships/hyperlink" Target="https://www.scopus.com/authid/detail.uri?authorId=57215036399" TargetMode="External"/><Relationship Id="rId29" Type="http://schemas.openxmlformats.org/officeDocument/2006/relationships/hyperlink" Target="https://www.scopus.com/authid/detail.uri?authorId=57215053855" TargetMode="External"/><Relationship Id="rId1" Type="http://schemas.openxmlformats.org/officeDocument/2006/relationships/hyperlink" Target="https://www.scopus.com/authid/detail.uri?authorId=57216240487" TargetMode="External"/><Relationship Id="rId6" Type="http://schemas.openxmlformats.org/officeDocument/2006/relationships/hyperlink" Target="https://www.scopus.com/authid/detail.uri?authorId=57205295169" TargetMode="External"/><Relationship Id="rId11" Type="http://schemas.openxmlformats.org/officeDocument/2006/relationships/hyperlink" Target="https://www.scopus.com/authid/detail.uri?authorId=57203634032" TargetMode="External"/><Relationship Id="rId24" Type="http://schemas.openxmlformats.org/officeDocument/2006/relationships/hyperlink" Target="https://www.scopus.com/authid/detail.uri?authorId=59712355800" TargetMode="External"/><Relationship Id="rId32" Type="http://schemas.openxmlformats.org/officeDocument/2006/relationships/hyperlink" Target="https://www.scopus.com/authid/detail.uri?authorId=59500284500&amp;origin=resultslist" TargetMode="External"/><Relationship Id="rId5" Type="http://schemas.openxmlformats.org/officeDocument/2006/relationships/hyperlink" Target="https://www.scopus.com/authid/detail.uri?authorId=57194156735" TargetMode="External"/><Relationship Id="rId15" Type="http://schemas.openxmlformats.org/officeDocument/2006/relationships/hyperlink" Target="https://www.scopus.com/authid/detail.uri?authorId=57375291800" TargetMode="External"/><Relationship Id="rId23" Type="http://schemas.openxmlformats.org/officeDocument/2006/relationships/hyperlink" Target="https://www.scopus.com/authid/detail.uri?authorId=57196425241" TargetMode="External"/><Relationship Id="rId28" Type="http://schemas.openxmlformats.org/officeDocument/2006/relationships/hyperlink" Target="https://www.scopus.com/authid/detail.uri?authorId=58808737400" TargetMode="External"/><Relationship Id="rId10" Type="http://schemas.openxmlformats.org/officeDocument/2006/relationships/hyperlink" Target="https://www.scopus.com/authid/detail.uri?authorId=57203111399" TargetMode="External"/><Relationship Id="rId19" Type="http://schemas.openxmlformats.org/officeDocument/2006/relationships/hyperlink" Target="https://www.scopus.com/authid/detail.uri?authorId=57216240353" TargetMode="External"/><Relationship Id="rId31" Type="http://schemas.openxmlformats.org/officeDocument/2006/relationships/hyperlink" Target="https://www.scopus.com/authid/detail.uri?authorId=59252188700&amp;origin=recordpage" TargetMode="External"/><Relationship Id="rId4" Type="http://schemas.openxmlformats.org/officeDocument/2006/relationships/hyperlink" Target="https://www.scopus.com/authid/detail.uri?authorId=57203635064" TargetMode="External"/><Relationship Id="rId9" Type="http://schemas.openxmlformats.org/officeDocument/2006/relationships/hyperlink" Target="https://www.scopus.com/authid/detail.uri?authorId=57195944492" TargetMode="External"/><Relationship Id="rId14" Type="http://schemas.openxmlformats.org/officeDocument/2006/relationships/hyperlink" Target="https://www.scopus.com/authid/detail.uri?authorId=57212536287" TargetMode="External"/><Relationship Id="rId22" Type="http://schemas.openxmlformats.org/officeDocument/2006/relationships/hyperlink" Target="https://www.scopus.com/authid/detail.uri?authorId=57211501880" TargetMode="External"/><Relationship Id="rId27" Type="http://schemas.openxmlformats.org/officeDocument/2006/relationships/hyperlink" Target="https://www.scopus.com/authid/detail.uri?authorId=58972723100" TargetMode="External"/><Relationship Id="rId30" Type="http://schemas.openxmlformats.org/officeDocument/2006/relationships/hyperlink" Target="https://www.scopus.com/authid/detail.uri?authorId=57215047310" TargetMode="External"/><Relationship Id="rId8" Type="http://schemas.openxmlformats.org/officeDocument/2006/relationships/hyperlink" Target="https://www.scopus.com/authid/detail.uri?authorId=572079423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45B0A-DB5A-4793-ABF7-55CAC0FEA578}">
  <dimension ref="A1:E17"/>
  <sheetViews>
    <sheetView workbookViewId="0">
      <selection activeCell="H8" sqref="H8"/>
    </sheetView>
  </sheetViews>
  <sheetFormatPr defaultRowHeight="12.75" x14ac:dyDescent="0.2"/>
  <cols>
    <col min="1" max="1" width="5.85546875" style="1" customWidth="1"/>
    <col min="2" max="2" width="36.42578125" style="2" customWidth="1"/>
    <col min="3" max="3" width="17.28515625" style="2" customWidth="1"/>
    <col min="4" max="4" width="34" style="2" customWidth="1"/>
    <col min="5" max="5" width="9.140625" style="2"/>
  </cols>
  <sheetData>
    <row r="1" spans="1:4" ht="15.75" x14ac:dyDescent="0.2">
      <c r="A1" s="21" t="s">
        <v>14</v>
      </c>
      <c r="B1" s="21" t="s">
        <v>12</v>
      </c>
      <c r="C1" s="21" t="s">
        <v>361</v>
      </c>
      <c r="D1" s="21" t="s">
        <v>362</v>
      </c>
    </row>
    <row r="2" spans="1:4" ht="31.5" x14ac:dyDescent="0.2">
      <c r="A2" s="22">
        <v>1</v>
      </c>
      <c r="B2" s="23" t="s">
        <v>129</v>
      </c>
      <c r="C2" s="23" t="s">
        <v>349</v>
      </c>
      <c r="D2" s="23" t="s">
        <v>360</v>
      </c>
    </row>
    <row r="3" spans="1:4" ht="15.75" x14ac:dyDescent="0.2">
      <c r="A3" s="22">
        <v>2</v>
      </c>
      <c r="B3" s="23" t="s">
        <v>137</v>
      </c>
      <c r="C3" s="23" t="s">
        <v>349</v>
      </c>
      <c r="D3" s="23" t="s">
        <v>360</v>
      </c>
    </row>
    <row r="4" spans="1:4" ht="15.75" x14ac:dyDescent="0.2">
      <c r="A4" s="22">
        <v>3</v>
      </c>
      <c r="B4" s="23" t="s">
        <v>139</v>
      </c>
      <c r="C4" s="23" t="s">
        <v>349</v>
      </c>
      <c r="D4" s="23" t="s">
        <v>360</v>
      </c>
    </row>
    <row r="5" spans="1:4" ht="15.75" x14ac:dyDescent="0.2">
      <c r="A5" s="22">
        <v>4</v>
      </c>
      <c r="B5" s="23" t="s">
        <v>20</v>
      </c>
      <c r="C5" s="23" t="s">
        <v>349</v>
      </c>
      <c r="D5" s="23" t="s">
        <v>360</v>
      </c>
    </row>
    <row r="6" spans="1:4" ht="15.75" x14ac:dyDescent="0.2">
      <c r="A6" s="22">
        <v>5</v>
      </c>
      <c r="B6" s="23" t="s">
        <v>6</v>
      </c>
      <c r="C6" s="23" t="s">
        <v>349</v>
      </c>
      <c r="D6" s="23" t="s">
        <v>360</v>
      </c>
    </row>
    <row r="7" spans="1:4" ht="15.75" x14ac:dyDescent="0.2">
      <c r="A7" s="22">
        <v>6</v>
      </c>
      <c r="B7" s="23" t="s">
        <v>23</v>
      </c>
      <c r="C7" s="23" t="s">
        <v>349</v>
      </c>
      <c r="D7" s="23" t="s">
        <v>360</v>
      </c>
    </row>
    <row r="8" spans="1:4" ht="15.75" x14ac:dyDescent="0.2">
      <c r="A8" s="22">
        <v>7</v>
      </c>
      <c r="B8" s="23" t="s">
        <v>25</v>
      </c>
      <c r="C8" s="23" t="s">
        <v>349</v>
      </c>
      <c r="D8" s="23" t="s">
        <v>360</v>
      </c>
    </row>
    <row r="9" spans="1:4" ht="15.75" x14ac:dyDescent="0.2">
      <c r="A9" s="22">
        <v>8</v>
      </c>
      <c r="B9" s="23" t="s">
        <v>24</v>
      </c>
      <c r="C9" s="23" t="s">
        <v>349</v>
      </c>
      <c r="D9" s="23" t="s">
        <v>360</v>
      </c>
    </row>
    <row r="10" spans="1:4" ht="15.75" x14ac:dyDescent="0.2">
      <c r="A10" s="22">
        <v>9</v>
      </c>
      <c r="B10" s="23" t="s">
        <v>153</v>
      </c>
      <c r="C10" s="23" t="s">
        <v>350</v>
      </c>
      <c r="D10" s="23" t="s">
        <v>360</v>
      </c>
    </row>
    <row r="11" spans="1:4" ht="15.75" x14ac:dyDescent="0.2">
      <c r="A11" s="22">
        <v>10</v>
      </c>
      <c r="B11" s="23" t="s">
        <v>182</v>
      </c>
      <c r="C11" s="23" t="s">
        <v>351</v>
      </c>
      <c r="D11" s="23" t="s">
        <v>360</v>
      </c>
    </row>
    <row r="12" spans="1:4" ht="15.75" x14ac:dyDescent="0.2">
      <c r="A12" s="22">
        <v>11</v>
      </c>
      <c r="B12" s="23" t="s">
        <v>185</v>
      </c>
      <c r="C12" s="23" t="s">
        <v>351</v>
      </c>
      <c r="D12" s="23" t="s">
        <v>360</v>
      </c>
    </row>
    <row r="13" spans="1:4" ht="15.75" x14ac:dyDescent="0.2">
      <c r="A13" s="22">
        <v>12</v>
      </c>
      <c r="B13" s="23" t="s">
        <v>187</v>
      </c>
      <c r="C13" s="23" t="s">
        <v>351</v>
      </c>
      <c r="D13" s="23" t="s">
        <v>360</v>
      </c>
    </row>
    <row r="14" spans="1:4" ht="15.75" x14ac:dyDescent="0.2">
      <c r="A14" s="22">
        <v>13</v>
      </c>
      <c r="B14" s="23" t="s">
        <v>10</v>
      </c>
      <c r="C14" s="23" t="s">
        <v>351</v>
      </c>
      <c r="D14" s="23" t="s">
        <v>360</v>
      </c>
    </row>
    <row r="15" spans="1:4" ht="15.75" x14ac:dyDescent="0.2">
      <c r="A15" s="22">
        <v>14</v>
      </c>
      <c r="B15" s="23" t="s">
        <v>55</v>
      </c>
      <c r="C15" s="23" t="s">
        <v>351</v>
      </c>
      <c r="D15" s="23" t="s">
        <v>360</v>
      </c>
    </row>
    <row r="16" spans="1:4" ht="15.75" x14ac:dyDescent="0.2">
      <c r="A16" s="22">
        <v>15</v>
      </c>
      <c r="B16" s="23" t="s">
        <v>58</v>
      </c>
      <c r="C16" s="23" t="s">
        <v>351</v>
      </c>
      <c r="D16" s="23" t="s">
        <v>360</v>
      </c>
    </row>
    <row r="17" spans="1:4" ht="31.5" x14ac:dyDescent="0.2">
      <c r="A17" s="22">
        <v>16</v>
      </c>
      <c r="B17" s="23" t="s">
        <v>66</v>
      </c>
      <c r="C17" s="23" t="s">
        <v>351</v>
      </c>
      <c r="D17" s="23" t="s">
        <v>360</v>
      </c>
    </row>
  </sheetData>
  <conditionalFormatting sqref="B25:B1048576 B1:B17">
    <cfRule type="duplicateValues" dxfId="6" priority="14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41BA0-D64A-45E2-B8C0-04A74B9FF349}">
  <dimension ref="A1:S70"/>
  <sheetViews>
    <sheetView tabSelected="1" zoomScale="90" zoomScaleNormal="90" workbookViewId="0">
      <pane ySplit="1" topLeftCell="A2" activePane="bottomLeft" state="frozen"/>
      <selection pane="bottomLeft" activeCell="W5" sqref="W5"/>
    </sheetView>
  </sheetViews>
  <sheetFormatPr defaultRowHeight="15.75" x14ac:dyDescent="0.25"/>
  <cols>
    <col min="1" max="1" width="9.140625" style="9"/>
    <col min="2" max="2" width="36.28515625" style="9" customWidth="1"/>
    <col min="3" max="3" width="5.7109375" style="9" customWidth="1"/>
    <col min="4" max="4" width="17.140625" style="50" customWidth="1"/>
    <col min="5" max="5" width="10.85546875" style="14" hidden="1" customWidth="1"/>
    <col min="6" max="6" width="9" style="14" hidden="1" customWidth="1"/>
    <col min="7" max="7" width="10.5703125" style="14" hidden="1" customWidth="1"/>
    <col min="8" max="9" width="10.7109375" style="14" hidden="1" customWidth="1"/>
    <col min="10" max="14" width="8.42578125" style="14" hidden="1" customWidth="1"/>
    <col min="15" max="17" width="8.42578125" style="14" customWidth="1"/>
    <col min="18" max="18" width="10.140625" style="14" customWidth="1"/>
    <col min="19" max="19" width="10.42578125" style="54" customWidth="1"/>
  </cols>
  <sheetData>
    <row r="1" spans="1:19" s="7" customFormat="1" x14ac:dyDescent="0.2">
      <c r="A1" s="64" t="s">
        <v>68</v>
      </c>
      <c r="B1" s="64" t="s">
        <v>69</v>
      </c>
      <c r="C1" s="63" t="s">
        <v>13</v>
      </c>
      <c r="D1" s="65" t="s">
        <v>67</v>
      </c>
      <c r="E1" s="63">
        <v>2020</v>
      </c>
      <c r="F1" s="63"/>
      <c r="G1" s="63">
        <v>2021</v>
      </c>
      <c r="H1" s="63"/>
      <c r="I1" s="63">
        <v>2022</v>
      </c>
      <c r="J1" s="63"/>
      <c r="K1" s="63">
        <v>2023</v>
      </c>
      <c r="L1" s="63"/>
      <c r="M1" s="63">
        <v>2024</v>
      </c>
      <c r="N1" s="63"/>
      <c r="O1" s="63">
        <v>2025</v>
      </c>
      <c r="P1" s="63"/>
      <c r="Q1" s="63">
        <v>2026</v>
      </c>
      <c r="R1" s="63"/>
      <c r="S1" s="61" t="s">
        <v>4</v>
      </c>
    </row>
    <row r="2" spans="1:19" s="7" customFormat="1" ht="31.5" x14ac:dyDescent="0.2">
      <c r="A2" s="64"/>
      <c r="B2" s="64"/>
      <c r="C2" s="63"/>
      <c r="D2" s="65"/>
      <c r="E2" s="36" t="s">
        <v>379</v>
      </c>
      <c r="F2" s="35" t="s">
        <v>380</v>
      </c>
      <c r="G2" s="36" t="s">
        <v>379</v>
      </c>
      <c r="H2" s="35" t="s">
        <v>380</v>
      </c>
      <c r="I2" s="36" t="s">
        <v>379</v>
      </c>
      <c r="J2" s="35" t="s">
        <v>380</v>
      </c>
      <c r="K2" s="36" t="s">
        <v>379</v>
      </c>
      <c r="L2" s="35" t="s">
        <v>380</v>
      </c>
      <c r="M2" s="36" t="s">
        <v>379</v>
      </c>
      <c r="N2" s="35" t="s">
        <v>380</v>
      </c>
      <c r="O2" s="36" t="s">
        <v>379</v>
      </c>
      <c r="P2" s="35" t="s">
        <v>380</v>
      </c>
      <c r="Q2" s="36" t="s">
        <v>379</v>
      </c>
      <c r="R2" s="35" t="s">
        <v>380</v>
      </c>
      <c r="S2" s="62"/>
    </row>
    <row r="3" spans="1:19" ht="51.75" x14ac:dyDescent="0.25">
      <c r="A3" s="10" t="s">
        <v>70</v>
      </c>
      <c r="B3" s="3" t="s">
        <v>60</v>
      </c>
      <c r="C3" s="26" t="s">
        <v>0</v>
      </c>
      <c r="D3" s="47" t="s">
        <v>142</v>
      </c>
      <c r="E3" s="28">
        <v>45</v>
      </c>
      <c r="F3" s="29">
        <v>39</v>
      </c>
      <c r="G3" s="29">
        <v>80</v>
      </c>
      <c r="H3" s="29">
        <v>75</v>
      </c>
      <c r="I3" s="29">
        <v>167</v>
      </c>
      <c r="J3" s="29">
        <v>161</v>
      </c>
      <c r="K3" s="29">
        <v>237</v>
      </c>
      <c r="L3" s="29">
        <v>233</v>
      </c>
      <c r="M3" s="29">
        <v>349</v>
      </c>
      <c r="N3" s="29">
        <v>343</v>
      </c>
      <c r="O3" s="29">
        <v>357</v>
      </c>
      <c r="P3" s="29">
        <v>355</v>
      </c>
      <c r="Q3" s="29"/>
      <c r="R3" s="29"/>
      <c r="S3" s="51">
        <v>17</v>
      </c>
    </row>
    <row r="4" spans="1:19" ht="51.75" x14ac:dyDescent="0.25">
      <c r="A4" s="10" t="s">
        <v>71</v>
      </c>
      <c r="B4" s="3" t="s">
        <v>59</v>
      </c>
      <c r="C4" s="26" t="s">
        <v>0</v>
      </c>
      <c r="D4" s="47" t="s">
        <v>200</v>
      </c>
      <c r="E4" s="29">
        <v>48</v>
      </c>
      <c r="F4" s="29">
        <v>45</v>
      </c>
      <c r="G4" s="29">
        <v>57</v>
      </c>
      <c r="H4" s="29">
        <v>56</v>
      </c>
      <c r="I4" s="29">
        <v>104</v>
      </c>
      <c r="J4" s="29">
        <v>91</v>
      </c>
      <c r="K4" s="29">
        <v>143</v>
      </c>
      <c r="L4" s="29">
        <v>136</v>
      </c>
      <c r="M4" s="29">
        <v>243</v>
      </c>
      <c r="N4" s="29">
        <v>240</v>
      </c>
      <c r="O4" s="29">
        <v>259</v>
      </c>
      <c r="P4" s="29">
        <v>254</v>
      </c>
      <c r="Q4" s="29"/>
      <c r="R4" s="29"/>
      <c r="S4" s="51">
        <v>16</v>
      </c>
    </row>
    <row r="5" spans="1:19" ht="51.75" x14ac:dyDescent="0.25">
      <c r="A5" s="10" t="s">
        <v>72</v>
      </c>
      <c r="B5" s="3" t="s">
        <v>62</v>
      </c>
      <c r="C5" s="26" t="s">
        <v>0</v>
      </c>
      <c r="D5" s="47" t="s">
        <v>201</v>
      </c>
      <c r="E5" s="29">
        <v>1</v>
      </c>
      <c r="F5" s="29">
        <v>1</v>
      </c>
      <c r="G5" s="29">
        <v>0</v>
      </c>
      <c r="H5" s="29">
        <v>0</v>
      </c>
      <c r="I5" s="29">
        <v>0</v>
      </c>
      <c r="J5" s="29">
        <v>0</v>
      </c>
      <c r="K5" s="29">
        <v>0</v>
      </c>
      <c r="L5" s="29">
        <v>0</v>
      </c>
      <c r="M5" s="29">
        <v>3</v>
      </c>
      <c r="N5" s="29">
        <v>3</v>
      </c>
      <c r="O5" s="29">
        <v>12</v>
      </c>
      <c r="P5" s="29">
        <v>12</v>
      </c>
      <c r="Q5" s="29"/>
      <c r="R5" s="29"/>
      <c r="S5" s="51">
        <v>2</v>
      </c>
    </row>
    <row r="6" spans="1:19" ht="51.75" x14ac:dyDescent="0.25">
      <c r="A6" s="10" t="s">
        <v>73</v>
      </c>
      <c r="B6" s="3" t="s">
        <v>61</v>
      </c>
      <c r="C6" s="26" t="s">
        <v>0</v>
      </c>
      <c r="D6" s="47" t="s">
        <v>202</v>
      </c>
      <c r="E6" s="29">
        <v>20</v>
      </c>
      <c r="F6" s="29">
        <v>20</v>
      </c>
      <c r="G6" s="29">
        <v>11</v>
      </c>
      <c r="H6" s="29">
        <v>11</v>
      </c>
      <c r="I6" s="29">
        <v>8</v>
      </c>
      <c r="J6" s="29">
        <v>8</v>
      </c>
      <c r="K6" s="29">
        <v>46</v>
      </c>
      <c r="L6" s="29">
        <v>41</v>
      </c>
      <c r="M6" s="29">
        <v>60</v>
      </c>
      <c r="N6" s="29">
        <v>60</v>
      </c>
      <c r="O6" s="29">
        <v>82</v>
      </c>
      <c r="P6" s="29">
        <v>80</v>
      </c>
      <c r="Q6" s="29"/>
      <c r="R6" s="29"/>
      <c r="S6" s="51">
        <v>8</v>
      </c>
    </row>
    <row r="7" spans="1:19" ht="51.75" x14ac:dyDescent="0.25">
      <c r="A7" s="10" t="s">
        <v>74</v>
      </c>
      <c r="B7" s="3" t="s">
        <v>63</v>
      </c>
      <c r="C7" s="26" t="s">
        <v>0</v>
      </c>
      <c r="D7" s="47" t="s">
        <v>203</v>
      </c>
      <c r="E7" s="29">
        <v>113</v>
      </c>
      <c r="F7" s="29">
        <v>102</v>
      </c>
      <c r="G7" s="29">
        <v>52</v>
      </c>
      <c r="H7" s="29">
        <v>49</v>
      </c>
      <c r="I7" s="29">
        <v>99</v>
      </c>
      <c r="J7" s="29">
        <v>80</v>
      </c>
      <c r="K7" s="29">
        <v>152</v>
      </c>
      <c r="L7" s="29">
        <v>147</v>
      </c>
      <c r="M7" s="29">
        <v>185</v>
      </c>
      <c r="N7" s="29">
        <v>168</v>
      </c>
      <c r="O7" s="29">
        <v>208</v>
      </c>
      <c r="P7" s="29">
        <v>198</v>
      </c>
      <c r="Q7" s="29"/>
      <c r="R7" s="29"/>
      <c r="S7" s="51">
        <v>16</v>
      </c>
    </row>
    <row r="8" spans="1:19" ht="51.75" x14ac:dyDescent="0.25">
      <c r="A8" s="10" t="s">
        <v>75</v>
      </c>
      <c r="B8" s="3" t="s">
        <v>15</v>
      </c>
      <c r="C8" s="26" t="s">
        <v>0</v>
      </c>
      <c r="D8" s="47" t="s">
        <v>204</v>
      </c>
      <c r="E8" s="29">
        <v>12</v>
      </c>
      <c r="F8" s="29">
        <v>10</v>
      </c>
      <c r="G8" s="29">
        <v>15</v>
      </c>
      <c r="H8" s="29">
        <v>15</v>
      </c>
      <c r="I8" s="29">
        <v>22</v>
      </c>
      <c r="J8" s="29">
        <v>22</v>
      </c>
      <c r="K8" s="29">
        <v>41</v>
      </c>
      <c r="L8" s="29">
        <v>41</v>
      </c>
      <c r="M8" s="29">
        <v>42</v>
      </c>
      <c r="N8" s="29">
        <v>37</v>
      </c>
      <c r="O8" s="29">
        <v>32</v>
      </c>
      <c r="P8" s="29">
        <v>32</v>
      </c>
      <c r="Q8" s="29"/>
      <c r="R8" s="29"/>
      <c r="S8" s="51">
        <v>8</v>
      </c>
    </row>
    <row r="9" spans="1:19" ht="51.75" x14ac:dyDescent="0.25">
      <c r="A9" s="10" t="s">
        <v>76</v>
      </c>
      <c r="B9" s="3" t="s">
        <v>16</v>
      </c>
      <c r="C9" s="26" t="s">
        <v>0</v>
      </c>
      <c r="D9" s="60" t="s">
        <v>205</v>
      </c>
      <c r="E9" s="29">
        <v>54</v>
      </c>
      <c r="F9" s="29">
        <v>49</v>
      </c>
      <c r="G9" s="29">
        <v>88</v>
      </c>
      <c r="H9" s="29">
        <v>83</v>
      </c>
      <c r="I9" s="29">
        <v>171</v>
      </c>
      <c r="J9" s="29">
        <v>167</v>
      </c>
      <c r="K9" s="29">
        <v>275</v>
      </c>
      <c r="L9" s="29">
        <v>272</v>
      </c>
      <c r="M9" s="29">
        <v>382</v>
      </c>
      <c r="N9" s="29">
        <v>370</v>
      </c>
      <c r="O9" s="29">
        <v>379</v>
      </c>
      <c r="P9" s="29">
        <v>370</v>
      </c>
      <c r="Q9" s="29"/>
      <c r="R9" s="29"/>
      <c r="S9" s="51">
        <v>16</v>
      </c>
    </row>
    <row r="10" spans="1:19" ht="51.75" x14ac:dyDescent="0.25">
      <c r="A10" s="10" t="s">
        <v>77</v>
      </c>
      <c r="B10" s="4" t="s">
        <v>17</v>
      </c>
      <c r="C10" s="26" t="s">
        <v>0</v>
      </c>
      <c r="D10" s="47" t="s">
        <v>206</v>
      </c>
      <c r="E10" s="29">
        <v>157</v>
      </c>
      <c r="F10" s="29">
        <v>123</v>
      </c>
      <c r="G10" s="29">
        <v>75</v>
      </c>
      <c r="H10" s="29">
        <v>57</v>
      </c>
      <c r="I10" s="29">
        <v>167</v>
      </c>
      <c r="J10" s="29">
        <v>112</v>
      </c>
      <c r="K10" s="29">
        <v>281</v>
      </c>
      <c r="L10" s="29">
        <v>241</v>
      </c>
      <c r="M10" s="29">
        <v>397</v>
      </c>
      <c r="N10" s="29">
        <v>336</v>
      </c>
      <c r="O10" s="29">
        <v>391</v>
      </c>
      <c r="P10" s="29">
        <v>362</v>
      </c>
      <c r="Q10" s="29"/>
      <c r="R10" s="29"/>
      <c r="S10" s="51">
        <v>21</v>
      </c>
    </row>
    <row r="11" spans="1:19" ht="51.75" x14ac:dyDescent="0.25">
      <c r="A11" s="10" t="s">
        <v>78</v>
      </c>
      <c r="B11" s="3" t="s">
        <v>79</v>
      </c>
      <c r="C11" s="26" t="s">
        <v>0</v>
      </c>
      <c r="D11" s="47" t="s">
        <v>207</v>
      </c>
      <c r="E11" s="29">
        <v>1</v>
      </c>
      <c r="F11" s="29">
        <v>1</v>
      </c>
      <c r="G11" s="29">
        <v>54</v>
      </c>
      <c r="H11" s="29">
        <v>49</v>
      </c>
      <c r="I11" s="29">
        <v>29</v>
      </c>
      <c r="J11" s="29">
        <v>28</v>
      </c>
      <c r="K11" s="29">
        <v>40</v>
      </c>
      <c r="L11" s="29">
        <v>40</v>
      </c>
      <c r="M11" s="29">
        <v>54</v>
      </c>
      <c r="N11" s="29">
        <v>53</v>
      </c>
      <c r="O11" s="29">
        <v>20</v>
      </c>
      <c r="P11" s="29">
        <v>20</v>
      </c>
      <c r="Q11" s="29"/>
      <c r="R11" s="29"/>
      <c r="S11" s="51">
        <v>5</v>
      </c>
    </row>
    <row r="12" spans="1:19" ht="51.75" x14ac:dyDescent="0.25">
      <c r="A12" s="10" t="s">
        <v>80</v>
      </c>
      <c r="B12" s="4" t="s">
        <v>364</v>
      </c>
      <c r="C12" s="26" t="s">
        <v>0</v>
      </c>
      <c r="D12" s="47" t="s">
        <v>208</v>
      </c>
      <c r="E12" s="29">
        <v>0</v>
      </c>
      <c r="F12" s="29">
        <v>0</v>
      </c>
      <c r="G12" s="29">
        <v>1</v>
      </c>
      <c r="H12" s="29">
        <v>1</v>
      </c>
      <c r="I12" s="29">
        <v>0</v>
      </c>
      <c r="J12" s="29">
        <v>0</v>
      </c>
      <c r="K12" s="29">
        <v>0</v>
      </c>
      <c r="L12" s="29">
        <v>0</v>
      </c>
      <c r="M12" s="29">
        <v>1</v>
      </c>
      <c r="N12" s="29">
        <v>1</v>
      </c>
      <c r="O12" s="29">
        <v>1</v>
      </c>
      <c r="P12" s="29">
        <v>1</v>
      </c>
      <c r="Q12" s="29"/>
      <c r="R12" s="29"/>
      <c r="S12" s="51">
        <v>1</v>
      </c>
    </row>
    <row r="13" spans="1:19" ht="51.75" x14ac:dyDescent="0.25">
      <c r="A13" s="10" t="s">
        <v>81</v>
      </c>
      <c r="B13" s="3" t="s">
        <v>365</v>
      </c>
      <c r="C13" s="26" t="s">
        <v>0</v>
      </c>
      <c r="D13" s="47" t="s">
        <v>209</v>
      </c>
      <c r="E13" s="29">
        <v>2</v>
      </c>
      <c r="F13" s="29">
        <v>2</v>
      </c>
      <c r="G13" s="29">
        <v>2</v>
      </c>
      <c r="H13" s="29">
        <v>2</v>
      </c>
      <c r="I13" s="29">
        <v>6</v>
      </c>
      <c r="J13" s="29">
        <v>6</v>
      </c>
      <c r="K13" s="29">
        <v>4</v>
      </c>
      <c r="L13" s="29">
        <v>3</v>
      </c>
      <c r="M13" s="29">
        <v>4</v>
      </c>
      <c r="N13" s="29">
        <v>4</v>
      </c>
      <c r="O13" s="29">
        <v>11</v>
      </c>
      <c r="P13" s="29">
        <v>11</v>
      </c>
      <c r="Q13" s="29"/>
      <c r="R13" s="29"/>
      <c r="S13" s="51">
        <v>3</v>
      </c>
    </row>
    <row r="14" spans="1:19" ht="51.75" x14ac:dyDescent="0.25">
      <c r="A14" s="10" t="s">
        <v>82</v>
      </c>
      <c r="B14" s="3" t="s">
        <v>366</v>
      </c>
      <c r="C14" s="26" t="s">
        <v>0</v>
      </c>
      <c r="D14" s="47" t="s">
        <v>210</v>
      </c>
      <c r="E14" s="29">
        <v>1</v>
      </c>
      <c r="F14" s="29">
        <v>1</v>
      </c>
      <c r="G14" s="29">
        <v>4</v>
      </c>
      <c r="H14" s="29">
        <v>4</v>
      </c>
      <c r="I14" s="29">
        <v>9</v>
      </c>
      <c r="J14" s="29">
        <v>9</v>
      </c>
      <c r="K14" s="29">
        <v>12</v>
      </c>
      <c r="L14" s="29">
        <v>12</v>
      </c>
      <c r="M14" s="29">
        <v>29</v>
      </c>
      <c r="N14" s="29">
        <v>20</v>
      </c>
      <c r="O14" s="29">
        <v>74</v>
      </c>
      <c r="P14" s="29">
        <v>60</v>
      </c>
      <c r="Q14" s="29"/>
      <c r="R14" s="29"/>
      <c r="S14" s="51">
        <v>6</v>
      </c>
    </row>
    <row r="15" spans="1:19" ht="51.75" x14ac:dyDescent="0.25">
      <c r="A15" s="10" t="s">
        <v>83</v>
      </c>
      <c r="B15" s="3" t="s">
        <v>84</v>
      </c>
      <c r="C15" s="26" t="s">
        <v>0</v>
      </c>
      <c r="D15" s="47" t="s">
        <v>211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1</v>
      </c>
      <c r="N15" s="29">
        <v>1</v>
      </c>
      <c r="O15" s="29">
        <v>1</v>
      </c>
      <c r="P15" s="29">
        <v>1</v>
      </c>
      <c r="Q15" s="29"/>
      <c r="R15" s="29"/>
      <c r="S15" s="51">
        <v>1</v>
      </c>
    </row>
    <row r="16" spans="1:19" ht="51.75" x14ac:dyDescent="0.25">
      <c r="A16" s="10" t="s">
        <v>85</v>
      </c>
      <c r="B16" s="3" t="s">
        <v>86</v>
      </c>
      <c r="C16" s="26" t="s">
        <v>0</v>
      </c>
      <c r="D16" s="47" t="s">
        <v>212</v>
      </c>
      <c r="E16" s="29">
        <v>7</v>
      </c>
      <c r="F16" s="29">
        <v>7</v>
      </c>
      <c r="G16" s="29">
        <v>3</v>
      </c>
      <c r="H16" s="29">
        <v>3</v>
      </c>
      <c r="I16" s="29">
        <v>2</v>
      </c>
      <c r="J16" s="29">
        <v>2</v>
      </c>
      <c r="K16" s="29">
        <v>5</v>
      </c>
      <c r="L16" s="29">
        <v>5</v>
      </c>
      <c r="M16" s="29">
        <v>5</v>
      </c>
      <c r="N16" s="29">
        <v>5</v>
      </c>
      <c r="O16" s="29">
        <v>2</v>
      </c>
      <c r="P16" s="29">
        <v>2</v>
      </c>
      <c r="Q16" s="29"/>
      <c r="R16" s="29"/>
      <c r="S16" s="51">
        <v>1</v>
      </c>
    </row>
    <row r="17" spans="1:19" s="19" customFormat="1" ht="51.75" x14ac:dyDescent="0.25">
      <c r="A17" s="17" t="s">
        <v>87</v>
      </c>
      <c r="B17" s="20" t="s">
        <v>88</v>
      </c>
      <c r="C17" s="31" t="s">
        <v>0</v>
      </c>
      <c r="D17" s="59" t="s">
        <v>213</v>
      </c>
      <c r="E17" s="32">
        <v>8</v>
      </c>
      <c r="F17" s="32">
        <v>8</v>
      </c>
      <c r="G17" s="32">
        <v>6</v>
      </c>
      <c r="H17" s="32">
        <v>6</v>
      </c>
      <c r="I17" s="32">
        <v>3</v>
      </c>
      <c r="J17" s="32">
        <v>3</v>
      </c>
      <c r="K17" s="32">
        <v>6</v>
      </c>
      <c r="L17" s="32">
        <v>6</v>
      </c>
      <c r="M17" s="32">
        <v>9</v>
      </c>
      <c r="N17" s="32">
        <v>9</v>
      </c>
      <c r="O17" s="32">
        <v>15</v>
      </c>
      <c r="P17" s="32">
        <v>15</v>
      </c>
      <c r="Q17" s="32"/>
      <c r="R17" s="32"/>
      <c r="S17" s="52">
        <v>3</v>
      </c>
    </row>
    <row r="18" spans="1:19" s="19" customFormat="1" ht="78.75" x14ac:dyDescent="0.25">
      <c r="A18" s="17"/>
      <c r="B18" s="20"/>
      <c r="C18" s="31"/>
      <c r="D18" s="48" t="s">
        <v>343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52"/>
    </row>
    <row r="19" spans="1:19" ht="51.75" x14ac:dyDescent="0.25">
      <c r="A19" s="10" t="s">
        <v>89</v>
      </c>
      <c r="B19" s="4" t="s">
        <v>90</v>
      </c>
      <c r="C19" s="26" t="s">
        <v>0</v>
      </c>
      <c r="D19" s="47" t="s">
        <v>214</v>
      </c>
      <c r="E19" s="29">
        <v>2</v>
      </c>
      <c r="F19" s="29">
        <v>2</v>
      </c>
      <c r="G19" s="29">
        <v>4</v>
      </c>
      <c r="H19" s="29">
        <v>4</v>
      </c>
      <c r="I19" s="29">
        <v>6</v>
      </c>
      <c r="J19" s="29">
        <v>6</v>
      </c>
      <c r="K19" s="29">
        <v>7</v>
      </c>
      <c r="L19" s="29">
        <v>7</v>
      </c>
      <c r="M19" s="29">
        <v>12</v>
      </c>
      <c r="N19" s="29">
        <v>11</v>
      </c>
      <c r="O19" s="29">
        <v>8</v>
      </c>
      <c r="P19" s="29">
        <v>8</v>
      </c>
      <c r="Q19" s="29"/>
      <c r="R19" s="29"/>
      <c r="S19" s="51">
        <v>3</v>
      </c>
    </row>
    <row r="20" spans="1:19" ht="51.75" x14ac:dyDescent="0.25">
      <c r="A20" s="10" t="s">
        <v>91</v>
      </c>
      <c r="B20" s="3" t="s">
        <v>92</v>
      </c>
      <c r="C20" s="26" t="s">
        <v>0</v>
      </c>
      <c r="D20" s="47" t="s">
        <v>215</v>
      </c>
      <c r="E20" s="29">
        <v>13</v>
      </c>
      <c r="F20" s="29">
        <v>12</v>
      </c>
      <c r="G20" s="29">
        <v>8</v>
      </c>
      <c r="H20" s="29">
        <v>7</v>
      </c>
      <c r="I20" s="29">
        <v>15</v>
      </c>
      <c r="J20" s="29">
        <v>15</v>
      </c>
      <c r="K20" s="29">
        <v>21</v>
      </c>
      <c r="L20" s="29">
        <v>21</v>
      </c>
      <c r="M20" s="29">
        <v>29</v>
      </c>
      <c r="N20" s="29">
        <v>29</v>
      </c>
      <c r="O20" s="29">
        <v>33</v>
      </c>
      <c r="P20" s="29">
        <v>32</v>
      </c>
      <c r="Q20" s="29"/>
      <c r="R20" s="29"/>
      <c r="S20" s="51">
        <v>4</v>
      </c>
    </row>
    <row r="21" spans="1:19" ht="51.75" x14ac:dyDescent="0.25">
      <c r="A21" s="10" t="s">
        <v>93</v>
      </c>
      <c r="B21" s="4" t="s">
        <v>94</v>
      </c>
      <c r="C21" s="26" t="s">
        <v>0</v>
      </c>
      <c r="D21" s="47" t="s">
        <v>216</v>
      </c>
      <c r="E21" s="29">
        <v>2</v>
      </c>
      <c r="F21" s="29">
        <v>1</v>
      </c>
      <c r="G21" s="29">
        <v>2</v>
      </c>
      <c r="H21" s="29">
        <v>2</v>
      </c>
      <c r="I21" s="29">
        <v>8</v>
      </c>
      <c r="J21" s="29">
        <v>8</v>
      </c>
      <c r="K21" s="29">
        <v>26</v>
      </c>
      <c r="L21" s="29">
        <v>24</v>
      </c>
      <c r="M21" s="29">
        <v>53</v>
      </c>
      <c r="N21" s="29">
        <v>52</v>
      </c>
      <c r="O21" s="29">
        <v>45</v>
      </c>
      <c r="P21" s="29">
        <v>44</v>
      </c>
      <c r="Q21" s="29"/>
      <c r="R21" s="29"/>
      <c r="S21" s="51">
        <v>6</v>
      </c>
    </row>
    <row r="22" spans="1:19" ht="51.75" x14ac:dyDescent="0.25">
      <c r="A22" s="10" t="s">
        <v>95</v>
      </c>
      <c r="B22" s="4" t="s">
        <v>96</v>
      </c>
      <c r="C22" s="26" t="s">
        <v>0</v>
      </c>
      <c r="D22" s="47" t="s">
        <v>217</v>
      </c>
      <c r="E22" s="29">
        <v>3</v>
      </c>
      <c r="F22" s="29">
        <v>2</v>
      </c>
      <c r="G22" s="29">
        <v>1</v>
      </c>
      <c r="H22" s="29">
        <v>1</v>
      </c>
      <c r="I22" s="29">
        <v>1</v>
      </c>
      <c r="J22" s="29">
        <v>1</v>
      </c>
      <c r="K22" s="29">
        <v>0</v>
      </c>
      <c r="L22" s="29">
        <v>0</v>
      </c>
      <c r="M22" s="29">
        <v>1</v>
      </c>
      <c r="N22" s="29">
        <v>1</v>
      </c>
      <c r="O22" s="29">
        <v>4</v>
      </c>
      <c r="P22" s="29">
        <v>4</v>
      </c>
      <c r="Q22" s="29"/>
      <c r="R22" s="29"/>
      <c r="S22" s="51">
        <v>2</v>
      </c>
    </row>
    <row r="23" spans="1:19" ht="51.75" x14ac:dyDescent="0.25">
      <c r="A23" s="10" t="s">
        <v>97</v>
      </c>
      <c r="B23" s="4" t="s">
        <v>98</v>
      </c>
      <c r="C23" s="26" t="s">
        <v>0</v>
      </c>
      <c r="D23" s="47" t="s">
        <v>218</v>
      </c>
      <c r="E23" s="29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/>
      <c r="R23" s="29"/>
      <c r="S23" s="51">
        <v>0</v>
      </c>
    </row>
    <row r="24" spans="1:19" ht="51.75" x14ac:dyDescent="0.25">
      <c r="A24" s="10" t="s">
        <v>99</v>
      </c>
      <c r="B24" s="4" t="s">
        <v>100</v>
      </c>
      <c r="C24" s="26" t="s">
        <v>0</v>
      </c>
      <c r="D24" s="47" t="s">
        <v>219</v>
      </c>
      <c r="E24" s="29">
        <v>5</v>
      </c>
      <c r="F24" s="29">
        <v>5</v>
      </c>
      <c r="G24" s="29">
        <v>2</v>
      </c>
      <c r="H24" s="29">
        <v>2</v>
      </c>
      <c r="I24" s="29">
        <v>8</v>
      </c>
      <c r="J24" s="29">
        <v>8</v>
      </c>
      <c r="K24" s="29">
        <v>8</v>
      </c>
      <c r="L24" s="29">
        <v>8</v>
      </c>
      <c r="M24" s="29">
        <v>21</v>
      </c>
      <c r="N24" s="29">
        <v>20</v>
      </c>
      <c r="O24" s="29">
        <v>18</v>
      </c>
      <c r="P24" s="29">
        <v>18</v>
      </c>
      <c r="Q24" s="29"/>
      <c r="R24" s="29"/>
      <c r="S24" s="51">
        <v>4</v>
      </c>
    </row>
    <row r="25" spans="1:19" ht="51.75" x14ac:dyDescent="0.25">
      <c r="A25" s="10" t="s">
        <v>101</v>
      </c>
      <c r="B25" s="3" t="s">
        <v>18</v>
      </c>
      <c r="C25" s="26" t="s">
        <v>0</v>
      </c>
      <c r="D25" s="47" t="s">
        <v>220</v>
      </c>
      <c r="E25" s="29">
        <v>0</v>
      </c>
      <c r="F25" s="29">
        <v>0</v>
      </c>
      <c r="G25" s="29">
        <v>0</v>
      </c>
      <c r="H25" s="29">
        <v>0</v>
      </c>
      <c r="I25" s="29">
        <v>0</v>
      </c>
      <c r="J25" s="29">
        <v>0</v>
      </c>
      <c r="K25" s="29">
        <v>2</v>
      </c>
      <c r="L25" s="29">
        <v>2</v>
      </c>
      <c r="M25" s="29">
        <v>2</v>
      </c>
      <c r="N25" s="29">
        <v>2</v>
      </c>
      <c r="O25" s="29">
        <v>5</v>
      </c>
      <c r="P25" s="29">
        <v>5</v>
      </c>
      <c r="Q25" s="29"/>
      <c r="R25" s="29"/>
      <c r="S25" s="51">
        <v>2</v>
      </c>
    </row>
    <row r="26" spans="1:19" ht="51.75" x14ac:dyDescent="0.25">
      <c r="A26" s="10" t="s">
        <v>102</v>
      </c>
      <c r="B26" s="3" t="s">
        <v>103</v>
      </c>
      <c r="C26" s="26" t="s">
        <v>0</v>
      </c>
      <c r="D26" s="47" t="s">
        <v>221</v>
      </c>
      <c r="E26" s="29">
        <v>2</v>
      </c>
      <c r="F26" s="29">
        <v>2</v>
      </c>
      <c r="G26" s="29">
        <v>2</v>
      </c>
      <c r="H26" s="29">
        <v>2</v>
      </c>
      <c r="I26" s="29">
        <v>6</v>
      </c>
      <c r="J26" s="29">
        <v>6</v>
      </c>
      <c r="K26" s="29">
        <v>1</v>
      </c>
      <c r="L26" s="29">
        <v>1</v>
      </c>
      <c r="M26" s="29">
        <v>4</v>
      </c>
      <c r="N26" s="29">
        <v>4</v>
      </c>
      <c r="O26" s="29">
        <v>3</v>
      </c>
      <c r="P26" s="29">
        <v>3</v>
      </c>
      <c r="Q26" s="29"/>
      <c r="R26" s="29"/>
      <c r="S26" s="51">
        <v>2</v>
      </c>
    </row>
    <row r="27" spans="1:19" ht="51.75" x14ac:dyDescent="0.25">
      <c r="A27" s="10" t="s">
        <v>104</v>
      </c>
      <c r="B27" s="4" t="s">
        <v>105</v>
      </c>
      <c r="C27" s="26" t="s">
        <v>0</v>
      </c>
      <c r="D27" s="47" t="s">
        <v>222</v>
      </c>
      <c r="E27" s="29">
        <v>36</v>
      </c>
      <c r="F27" s="29">
        <v>36</v>
      </c>
      <c r="G27" s="29">
        <v>13</v>
      </c>
      <c r="H27" s="29">
        <v>13</v>
      </c>
      <c r="I27" s="29">
        <v>17</v>
      </c>
      <c r="J27" s="29">
        <v>16</v>
      </c>
      <c r="K27" s="29">
        <v>27</v>
      </c>
      <c r="L27" s="29">
        <v>27</v>
      </c>
      <c r="M27" s="29">
        <v>26</v>
      </c>
      <c r="N27" s="29">
        <v>26</v>
      </c>
      <c r="O27" s="29">
        <v>28</v>
      </c>
      <c r="P27" s="29">
        <v>28</v>
      </c>
      <c r="Q27" s="29"/>
      <c r="R27" s="29"/>
      <c r="S27" s="51">
        <v>6</v>
      </c>
    </row>
    <row r="28" spans="1:19" ht="51.75" x14ac:dyDescent="0.25">
      <c r="A28" s="10" t="s">
        <v>106</v>
      </c>
      <c r="B28" s="4" t="s">
        <v>107</v>
      </c>
      <c r="C28" s="26" t="s">
        <v>0</v>
      </c>
      <c r="D28" s="47" t="s">
        <v>223</v>
      </c>
      <c r="E28" s="29">
        <v>20</v>
      </c>
      <c r="F28" s="29">
        <v>19</v>
      </c>
      <c r="G28" s="29">
        <v>11</v>
      </c>
      <c r="H28" s="29">
        <v>11</v>
      </c>
      <c r="I28" s="29">
        <v>17</v>
      </c>
      <c r="J28" s="29">
        <v>17</v>
      </c>
      <c r="K28" s="29">
        <v>30</v>
      </c>
      <c r="L28" s="29">
        <v>30</v>
      </c>
      <c r="M28" s="29">
        <v>42</v>
      </c>
      <c r="N28" s="29">
        <v>42</v>
      </c>
      <c r="O28" s="29">
        <v>51</v>
      </c>
      <c r="P28" s="29">
        <v>50</v>
      </c>
      <c r="Q28" s="29"/>
      <c r="R28" s="29"/>
      <c r="S28" s="51">
        <v>7</v>
      </c>
    </row>
    <row r="29" spans="1:19" ht="51.75" x14ac:dyDescent="0.25">
      <c r="A29" s="10" t="s">
        <v>108</v>
      </c>
      <c r="B29" s="4" t="s">
        <v>109</v>
      </c>
      <c r="C29" s="26" t="s">
        <v>0</v>
      </c>
      <c r="D29" s="47" t="s">
        <v>224</v>
      </c>
      <c r="E29" s="29">
        <v>1</v>
      </c>
      <c r="F29" s="29">
        <v>1</v>
      </c>
      <c r="G29" s="29">
        <v>1</v>
      </c>
      <c r="H29" s="29">
        <v>1</v>
      </c>
      <c r="I29" s="29">
        <v>2</v>
      </c>
      <c r="J29" s="29">
        <v>2</v>
      </c>
      <c r="K29" s="29">
        <v>4</v>
      </c>
      <c r="L29" s="29">
        <v>4</v>
      </c>
      <c r="M29" s="29">
        <v>16</v>
      </c>
      <c r="N29" s="29">
        <v>14</v>
      </c>
      <c r="O29" s="29">
        <v>14</v>
      </c>
      <c r="P29" s="29">
        <v>14</v>
      </c>
      <c r="Q29" s="29"/>
      <c r="R29" s="29"/>
      <c r="S29" s="51">
        <v>3</v>
      </c>
    </row>
    <row r="30" spans="1:19" ht="51.75" x14ac:dyDescent="0.25">
      <c r="A30" s="10" t="s">
        <v>110</v>
      </c>
      <c r="B30" s="3" t="s">
        <v>111</v>
      </c>
      <c r="C30" s="26" t="s">
        <v>0</v>
      </c>
      <c r="D30" s="47" t="s">
        <v>225</v>
      </c>
      <c r="E30" s="29">
        <v>4</v>
      </c>
      <c r="F30" s="29">
        <v>4</v>
      </c>
      <c r="G30" s="29">
        <v>1</v>
      </c>
      <c r="H30" s="29">
        <v>1</v>
      </c>
      <c r="I30" s="29">
        <v>3</v>
      </c>
      <c r="J30" s="29">
        <v>3</v>
      </c>
      <c r="K30" s="29">
        <v>0</v>
      </c>
      <c r="L30" s="29">
        <v>0</v>
      </c>
      <c r="M30" s="29">
        <v>5</v>
      </c>
      <c r="N30" s="29">
        <v>5</v>
      </c>
      <c r="O30" s="29">
        <v>2</v>
      </c>
      <c r="P30" s="29">
        <v>2</v>
      </c>
      <c r="Q30" s="29"/>
      <c r="R30" s="29"/>
      <c r="S30" s="51">
        <v>3</v>
      </c>
    </row>
    <row r="31" spans="1:19" s="19" customFormat="1" ht="51.75" x14ac:dyDescent="0.25">
      <c r="A31" s="17" t="s">
        <v>112</v>
      </c>
      <c r="B31" s="20" t="s">
        <v>113</v>
      </c>
      <c r="C31" s="31" t="s">
        <v>0</v>
      </c>
      <c r="D31" s="59" t="s">
        <v>226</v>
      </c>
      <c r="E31" s="32">
        <v>8</v>
      </c>
      <c r="F31" s="32">
        <v>8</v>
      </c>
      <c r="G31" s="32">
        <v>6</v>
      </c>
      <c r="H31" s="32">
        <v>6</v>
      </c>
      <c r="I31" s="32">
        <v>3</v>
      </c>
      <c r="J31" s="32">
        <v>3</v>
      </c>
      <c r="K31" s="32">
        <v>6</v>
      </c>
      <c r="L31" s="32">
        <v>6</v>
      </c>
      <c r="M31" s="32">
        <v>9</v>
      </c>
      <c r="N31" s="32">
        <v>9</v>
      </c>
      <c r="O31" s="32">
        <v>9</v>
      </c>
      <c r="P31" s="32">
        <v>9</v>
      </c>
      <c r="Q31" s="32"/>
      <c r="R31" s="32"/>
      <c r="S31" s="52">
        <v>2</v>
      </c>
    </row>
    <row r="32" spans="1:19" s="19" customFormat="1" ht="63" x14ac:dyDescent="0.25">
      <c r="A32" s="17"/>
      <c r="B32" s="20"/>
      <c r="C32" s="31"/>
      <c r="D32" s="48" t="s">
        <v>226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52"/>
    </row>
    <row r="33" spans="1:19" ht="51.75" x14ac:dyDescent="0.25">
      <c r="A33" s="10" t="s">
        <v>114</v>
      </c>
      <c r="B33" s="4" t="s">
        <v>115</v>
      </c>
      <c r="C33" s="26" t="s">
        <v>0</v>
      </c>
      <c r="D33" s="47" t="s">
        <v>227</v>
      </c>
      <c r="E33" s="29">
        <v>2</v>
      </c>
      <c r="F33" s="29">
        <v>2</v>
      </c>
      <c r="G33" s="29">
        <v>2</v>
      </c>
      <c r="H33" s="29">
        <v>2</v>
      </c>
      <c r="I33" s="29">
        <v>3</v>
      </c>
      <c r="J33" s="29">
        <v>3</v>
      </c>
      <c r="K33" s="29">
        <v>13</v>
      </c>
      <c r="L33" s="29">
        <v>13</v>
      </c>
      <c r="M33" s="29">
        <v>16</v>
      </c>
      <c r="N33" s="29">
        <v>16</v>
      </c>
      <c r="O33" s="29">
        <v>13</v>
      </c>
      <c r="P33" s="29">
        <v>13</v>
      </c>
      <c r="Q33" s="29"/>
      <c r="R33" s="29"/>
      <c r="S33" s="51">
        <v>2</v>
      </c>
    </row>
    <row r="34" spans="1:19" ht="51.75" x14ac:dyDescent="0.25">
      <c r="A34" s="10" t="s">
        <v>116</v>
      </c>
      <c r="B34" s="3" t="s">
        <v>117</v>
      </c>
      <c r="C34" s="26" t="s">
        <v>0</v>
      </c>
      <c r="D34" s="47" t="s">
        <v>228</v>
      </c>
      <c r="E34" s="29">
        <v>0</v>
      </c>
      <c r="F34" s="29">
        <v>0</v>
      </c>
      <c r="G34" s="29">
        <v>0</v>
      </c>
      <c r="H34" s="29">
        <v>0</v>
      </c>
      <c r="I34" s="29">
        <v>0</v>
      </c>
      <c r="J34" s="29">
        <v>0</v>
      </c>
      <c r="K34" s="29">
        <v>1</v>
      </c>
      <c r="L34" s="29">
        <v>1</v>
      </c>
      <c r="M34" s="29">
        <v>5</v>
      </c>
      <c r="N34" s="29">
        <v>5</v>
      </c>
      <c r="O34" s="29">
        <v>4</v>
      </c>
      <c r="P34" s="29">
        <v>4</v>
      </c>
      <c r="Q34" s="29"/>
      <c r="R34" s="29"/>
      <c r="S34" s="51">
        <v>2</v>
      </c>
    </row>
    <row r="35" spans="1:19" ht="51.75" x14ac:dyDescent="0.25">
      <c r="A35" s="10" t="s">
        <v>118</v>
      </c>
      <c r="B35" s="4" t="s">
        <v>119</v>
      </c>
      <c r="C35" s="26" t="s">
        <v>0</v>
      </c>
      <c r="D35" s="47" t="s">
        <v>229</v>
      </c>
      <c r="E35" s="29">
        <v>12</v>
      </c>
      <c r="F35" s="29">
        <v>10</v>
      </c>
      <c r="G35" s="29">
        <v>7</v>
      </c>
      <c r="H35" s="29">
        <v>7</v>
      </c>
      <c r="I35" s="29">
        <v>10</v>
      </c>
      <c r="J35" s="29">
        <v>10</v>
      </c>
      <c r="K35" s="29">
        <v>13</v>
      </c>
      <c r="L35" s="29">
        <v>13</v>
      </c>
      <c r="M35" s="29">
        <v>13</v>
      </c>
      <c r="N35" s="29">
        <v>13</v>
      </c>
      <c r="O35" s="29">
        <v>12</v>
      </c>
      <c r="P35" s="29">
        <v>11</v>
      </c>
      <c r="Q35" s="29"/>
      <c r="R35" s="29"/>
      <c r="S35" s="51">
        <v>5</v>
      </c>
    </row>
    <row r="36" spans="1:19" ht="51.75" x14ac:dyDescent="0.25">
      <c r="A36" s="10" t="s">
        <v>120</v>
      </c>
      <c r="B36" s="4" t="s">
        <v>121</v>
      </c>
      <c r="C36" s="26" t="s">
        <v>0</v>
      </c>
      <c r="D36" s="47" t="s">
        <v>230</v>
      </c>
      <c r="E36" s="29">
        <v>16</v>
      </c>
      <c r="F36" s="29">
        <v>16</v>
      </c>
      <c r="G36" s="29">
        <v>7</v>
      </c>
      <c r="H36" s="29">
        <v>7</v>
      </c>
      <c r="I36" s="29">
        <v>4</v>
      </c>
      <c r="J36" s="29">
        <v>4</v>
      </c>
      <c r="K36" s="29">
        <v>9</v>
      </c>
      <c r="L36" s="29">
        <v>9</v>
      </c>
      <c r="M36" s="29">
        <v>11</v>
      </c>
      <c r="N36" s="29">
        <v>11</v>
      </c>
      <c r="O36" s="29">
        <v>20</v>
      </c>
      <c r="P36" s="29">
        <v>20</v>
      </c>
      <c r="Q36" s="29"/>
      <c r="R36" s="29"/>
      <c r="S36" s="51">
        <v>4</v>
      </c>
    </row>
    <row r="37" spans="1:19" ht="51.75" x14ac:dyDescent="0.25">
      <c r="A37" s="10" t="s">
        <v>122</v>
      </c>
      <c r="B37" s="4" t="s">
        <v>123</v>
      </c>
      <c r="C37" s="26" t="s">
        <v>0</v>
      </c>
      <c r="D37" s="47" t="s">
        <v>231</v>
      </c>
      <c r="E37" s="29">
        <v>3</v>
      </c>
      <c r="F37" s="29">
        <v>3</v>
      </c>
      <c r="G37" s="29">
        <v>3</v>
      </c>
      <c r="H37" s="29">
        <v>3</v>
      </c>
      <c r="I37" s="29">
        <v>0</v>
      </c>
      <c r="J37" s="29">
        <v>0</v>
      </c>
      <c r="K37" s="29">
        <v>0</v>
      </c>
      <c r="L37" s="29">
        <v>0</v>
      </c>
      <c r="M37" s="29">
        <v>3</v>
      </c>
      <c r="N37" s="29">
        <v>3</v>
      </c>
      <c r="O37" s="29">
        <v>0</v>
      </c>
      <c r="P37" s="29">
        <v>0</v>
      </c>
      <c r="Q37" s="29"/>
      <c r="R37" s="29"/>
      <c r="S37" s="51">
        <v>2</v>
      </c>
    </row>
    <row r="38" spans="1:19" ht="51.75" x14ac:dyDescent="0.25">
      <c r="A38" s="10" t="s">
        <v>124</v>
      </c>
      <c r="B38" s="8" t="s">
        <v>5</v>
      </c>
      <c r="C38" s="26" t="s">
        <v>0</v>
      </c>
      <c r="D38" s="47" t="s">
        <v>232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0</v>
      </c>
      <c r="K38" s="29">
        <v>2</v>
      </c>
      <c r="L38" s="29">
        <v>2</v>
      </c>
      <c r="M38" s="29">
        <v>5</v>
      </c>
      <c r="N38" s="29">
        <v>5</v>
      </c>
      <c r="O38" s="29">
        <v>13</v>
      </c>
      <c r="P38" s="29">
        <v>11</v>
      </c>
      <c r="Q38" s="29"/>
      <c r="R38" s="29"/>
      <c r="S38" s="51">
        <v>2</v>
      </c>
    </row>
    <row r="39" spans="1:19" ht="51.75" x14ac:dyDescent="0.25">
      <c r="A39" s="10" t="s">
        <v>125</v>
      </c>
      <c r="B39" s="4" t="s">
        <v>19</v>
      </c>
      <c r="C39" s="26" t="s">
        <v>0</v>
      </c>
      <c r="D39" s="47" t="s">
        <v>233</v>
      </c>
      <c r="E39" s="29">
        <v>1</v>
      </c>
      <c r="F39" s="29">
        <v>1</v>
      </c>
      <c r="G39" s="29">
        <v>2</v>
      </c>
      <c r="H39" s="29">
        <v>2</v>
      </c>
      <c r="I39" s="29">
        <v>0</v>
      </c>
      <c r="J39" s="29">
        <v>0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29">
        <v>0</v>
      </c>
      <c r="Q39" s="29"/>
      <c r="R39" s="29"/>
      <c r="S39" s="51">
        <v>1</v>
      </c>
    </row>
    <row r="40" spans="1:19" ht="51.75" x14ac:dyDescent="0.25">
      <c r="A40" s="10" t="s">
        <v>126</v>
      </c>
      <c r="B40" s="4" t="s">
        <v>127</v>
      </c>
      <c r="C40" s="26" t="s">
        <v>0</v>
      </c>
      <c r="D40" s="47" t="s">
        <v>234</v>
      </c>
      <c r="E40" s="29">
        <v>6</v>
      </c>
      <c r="F40" s="29">
        <v>6</v>
      </c>
      <c r="G40" s="29">
        <v>1</v>
      </c>
      <c r="H40" s="29">
        <v>1</v>
      </c>
      <c r="I40" s="29">
        <v>0</v>
      </c>
      <c r="J40" s="29">
        <v>0</v>
      </c>
      <c r="K40" s="29">
        <v>0</v>
      </c>
      <c r="L40" s="29">
        <v>0</v>
      </c>
      <c r="M40" s="29">
        <v>2</v>
      </c>
      <c r="N40" s="29">
        <v>2</v>
      </c>
      <c r="O40" s="29">
        <v>0</v>
      </c>
      <c r="P40" s="29">
        <v>0</v>
      </c>
      <c r="Q40" s="29"/>
      <c r="R40" s="29"/>
      <c r="S40" s="51">
        <v>2</v>
      </c>
    </row>
    <row r="41" spans="1:19" ht="64.5" x14ac:dyDescent="0.25">
      <c r="A41" s="10" t="s">
        <v>128</v>
      </c>
      <c r="B41" s="4" t="s">
        <v>129</v>
      </c>
      <c r="C41" s="26" t="s">
        <v>0</v>
      </c>
      <c r="D41" s="58" t="s">
        <v>382</v>
      </c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51">
        <v>0</v>
      </c>
    </row>
    <row r="42" spans="1:19" ht="51.75" x14ac:dyDescent="0.25">
      <c r="A42" s="10" t="s">
        <v>130</v>
      </c>
      <c r="B42" s="4" t="s">
        <v>131</v>
      </c>
      <c r="C42" s="26" t="s">
        <v>0</v>
      </c>
      <c r="D42" s="47" t="s">
        <v>235</v>
      </c>
      <c r="E42" s="29">
        <v>2</v>
      </c>
      <c r="F42" s="29">
        <v>2</v>
      </c>
      <c r="G42" s="29">
        <v>7</v>
      </c>
      <c r="H42" s="29">
        <v>7</v>
      </c>
      <c r="I42" s="29">
        <v>11</v>
      </c>
      <c r="J42" s="29">
        <v>11</v>
      </c>
      <c r="K42" s="29">
        <v>19</v>
      </c>
      <c r="L42" s="29">
        <v>18</v>
      </c>
      <c r="M42" s="29">
        <v>21</v>
      </c>
      <c r="N42" s="29">
        <v>20</v>
      </c>
      <c r="O42" s="29">
        <v>30</v>
      </c>
      <c r="P42" s="29">
        <v>30</v>
      </c>
      <c r="Q42" s="29"/>
      <c r="R42" s="29"/>
      <c r="S42" s="51">
        <v>6</v>
      </c>
    </row>
    <row r="43" spans="1:19" ht="51.75" x14ac:dyDescent="0.25">
      <c r="A43" s="10" t="s">
        <v>132</v>
      </c>
      <c r="B43" s="8" t="s">
        <v>21</v>
      </c>
      <c r="C43" s="26" t="s">
        <v>0</v>
      </c>
      <c r="D43" s="47" t="s">
        <v>363</v>
      </c>
      <c r="E43" s="29">
        <v>0</v>
      </c>
      <c r="F43" s="29">
        <v>0</v>
      </c>
      <c r="G43" s="29">
        <v>2</v>
      </c>
      <c r="H43" s="29">
        <v>1</v>
      </c>
      <c r="I43" s="29">
        <v>4</v>
      </c>
      <c r="J43" s="29">
        <v>4</v>
      </c>
      <c r="K43" s="29">
        <v>6</v>
      </c>
      <c r="L43" s="29">
        <v>6</v>
      </c>
      <c r="M43" s="29">
        <v>10</v>
      </c>
      <c r="N43" s="29">
        <v>10</v>
      </c>
      <c r="O43" s="29">
        <v>8</v>
      </c>
      <c r="P43" s="29">
        <v>8</v>
      </c>
      <c r="Q43" s="29"/>
      <c r="R43" s="29"/>
      <c r="S43" s="51">
        <v>2</v>
      </c>
    </row>
    <row r="44" spans="1:19" ht="51.75" x14ac:dyDescent="0.25">
      <c r="A44" s="10" t="s">
        <v>133</v>
      </c>
      <c r="B44" s="4" t="s">
        <v>134</v>
      </c>
      <c r="C44" s="26" t="s">
        <v>0</v>
      </c>
      <c r="D44" s="47" t="s">
        <v>236</v>
      </c>
      <c r="E44" s="29">
        <v>0</v>
      </c>
      <c r="F44" s="29">
        <v>0</v>
      </c>
      <c r="G44" s="29">
        <v>0</v>
      </c>
      <c r="H44" s="29">
        <v>0</v>
      </c>
      <c r="I44" s="29">
        <v>0</v>
      </c>
      <c r="J44" s="29">
        <v>0</v>
      </c>
      <c r="K44" s="29">
        <v>2</v>
      </c>
      <c r="L44" s="29">
        <v>2</v>
      </c>
      <c r="M44" s="29">
        <v>4</v>
      </c>
      <c r="N44" s="29">
        <v>4</v>
      </c>
      <c r="O44" s="29">
        <v>1</v>
      </c>
      <c r="P44" s="29">
        <v>1</v>
      </c>
      <c r="Q44" s="29"/>
      <c r="R44" s="29"/>
      <c r="S44" s="51">
        <v>1</v>
      </c>
    </row>
    <row r="45" spans="1:19" ht="51.75" x14ac:dyDescent="0.25">
      <c r="A45" s="10" t="s">
        <v>135</v>
      </c>
      <c r="B45" s="4" t="s">
        <v>367</v>
      </c>
      <c r="C45" s="26" t="s">
        <v>0</v>
      </c>
      <c r="D45" s="47" t="s">
        <v>237</v>
      </c>
      <c r="E45" s="29">
        <v>0</v>
      </c>
      <c r="F45" s="29">
        <v>0</v>
      </c>
      <c r="G45" s="29">
        <v>2</v>
      </c>
      <c r="H45" s="29">
        <v>2</v>
      </c>
      <c r="I45" s="29">
        <v>5</v>
      </c>
      <c r="J45" s="29">
        <v>5</v>
      </c>
      <c r="K45" s="29">
        <v>11</v>
      </c>
      <c r="L45" s="29">
        <v>11</v>
      </c>
      <c r="M45" s="29">
        <v>21</v>
      </c>
      <c r="N45" s="29">
        <v>21</v>
      </c>
      <c r="O45" s="29">
        <v>12</v>
      </c>
      <c r="P45" s="29">
        <v>12</v>
      </c>
      <c r="Q45" s="29"/>
      <c r="R45" s="29"/>
      <c r="S45" s="51">
        <v>4</v>
      </c>
    </row>
    <row r="46" spans="1:19" ht="64.5" x14ac:dyDescent="0.25">
      <c r="A46" s="10" t="s">
        <v>136</v>
      </c>
      <c r="B46" s="4" t="s">
        <v>137</v>
      </c>
      <c r="C46" s="26" t="s">
        <v>0</v>
      </c>
      <c r="D46" s="58" t="s">
        <v>384</v>
      </c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51">
        <v>0</v>
      </c>
    </row>
    <row r="47" spans="1:19" ht="51.75" x14ac:dyDescent="0.25">
      <c r="A47" s="10" t="s">
        <v>138</v>
      </c>
      <c r="B47" s="4" t="s">
        <v>368</v>
      </c>
      <c r="C47" s="26" t="s">
        <v>0</v>
      </c>
      <c r="D47" s="47" t="s">
        <v>238</v>
      </c>
      <c r="E47" s="29">
        <v>0</v>
      </c>
      <c r="F47" s="29">
        <v>0</v>
      </c>
      <c r="G47" s="29">
        <v>1</v>
      </c>
      <c r="H47" s="29">
        <v>1</v>
      </c>
      <c r="I47" s="29">
        <v>0</v>
      </c>
      <c r="J47" s="29">
        <v>0</v>
      </c>
      <c r="K47" s="29">
        <v>2</v>
      </c>
      <c r="L47" s="29">
        <v>2</v>
      </c>
      <c r="M47" s="29">
        <v>4</v>
      </c>
      <c r="N47" s="29">
        <v>4</v>
      </c>
      <c r="O47" s="29">
        <v>5</v>
      </c>
      <c r="P47" s="29">
        <v>5</v>
      </c>
      <c r="Q47" s="29"/>
      <c r="R47" s="29"/>
      <c r="S47" s="51">
        <v>2</v>
      </c>
    </row>
    <row r="48" spans="1:19" s="13" customFormat="1" x14ac:dyDescent="0.25">
      <c r="A48" s="16">
        <v>44</v>
      </c>
      <c r="B48" s="6" t="s">
        <v>139</v>
      </c>
      <c r="C48" s="33" t="s">
        <v>0</v>
      </c>
      <c r="D48" s="49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53"/>
    </row>
    <row r="49" spans="1:19" ht="64.5" x14ac:dyDescent="0.25">
      <c r="A49" s="10">
        <v>45</v>
      </c>
      <c r="B49" s="4" t="s">
        <v>20</v>
      </c>
      <c r="C49" s="26" t="s">
        <v>0</v>
      </c>
      <c r="D49" s="58" t="s">
        <v>381</v>
      </c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51">
        <v>0</v>
      </c>
    </row>
    <row r="50" spans="1:19" ht="64.5" x14ac:dyDescent="0.25">
      <c r="A50" s="10">
        <v>46</v>
      </c>
      <c r="B50" s="4" t="s">
        <v>140</v>
      </c>
      <c r="C50" s="26" t="s">
        <v>0</v>
      </c>
      <c r="D50" s="47" t="s">
        <v>239</v>
      </c>
      <c r="E50" s="29">
        <v>0</v>
      </c>
      <c r="F50" s="29">
        <v>0</v>
      </c>
      <c r="G50" s="29">
        <v>0</v>
      </c>
      <c r="H50" s="29">
        <v>0</v>
      </c>
      <c r="I50" s="29">
        <v>1</v>
      </c>
      <c r="J50" s="29">
        <v>1</v>
      </c>
      <c r="K50" s="29">
        <v>1</v>
      </c>
      <c r="L50" s="29">
        <v>1</v>
      </c>
      <c r="M50" s="29">
        <v>4</v>
      </c>
      <c r="N50" s="29">
        <v>4</v>
      </c>
      <c r="O50" s="29">
        <v>2</v>
      </c>
      <c r="P50" s="29">
        <v>2</v>
      </c>
      <c r="Q50" s="29"/>
      <c r="R50" s="29"/>
      <c r="S50" s="51">
        <v>1</v>
      </c>
    </row>
    <row r="51" spans="1:19" ht="51.75" x14ac:dyDescent="0.25">
      <c r="A51" s="10">
        <v>47</v>
      </c>
      <c r="B51" s="3" t="s">
        <v>22</v>
      </c>
      <c r="C51" s="26" t="s">
        <v>0</v>
      </c>
      <c r="D51" s="47" t="s">
        <v>240</v>
      </c>
      <c r="E51" s="29">
        <v>25</v>
      </c>
      <c r="F51" s="29">
        <v>20</v>
      </c>
      <c r="G51" s="29">
        <v>11</v>
      </c>
      <c r="H51" s="29">
        <v>5</v>
      </c>
      <c r="I51" s="29">
        <v>27</v>
      </c>
      <c r="J51" s="29">
        <v>19</v>
      </c>
      <c r="K51" s="29">
        <v>40</v>
      </c>
      <c r="L51" s="29">
        <v>40</v>
      </c>
      <c r="M51" s="29">
        <v>65</v>
      </c>
      <c r="N51" s="29">
        <v>51</v>
      </c>
      <c r="O51" s="29">
        <v>56</v>
      </c>
      <c r="P51" s="29">
        <v>54</v>
      </c>
      <c r="Q51" s="29"/>
      <c r="R51" s="29"/>
      <c r="S51" s="51">
        <v>8</v>
      </c>
    </row>
    <row r="52" spans="1:19" ht="51.75" x14ac:dyDescent="0.25">
      <c r="A52" s="10">
        <v>48</v>
      </c>
      <c r="B52" s="4" t="s">
        <v>141</v>
      </c>
      <c r="C52" s="26" t="s">
        <v>0</v>
      </c>
      <c r="D52" s="47" t="s">
        <v>241</v>
      </c>
      <c r="E52" s="29">
        <v>0</v>
      </c>
      <c r="F52" s="29">
        <v>0</v>
      </c>
      <c r="G52" s="29">
        <v>0</v>
      </c>
      <c r="H52" s="29">
        <v>0</v>
      </c>
      <c r="I52" s="29">
        <v>0</v>
      </c>
      <c r="J52" s="29">
        <v>0</v>
      </c>
      <c r="K52" s="29">
        <v>0</v>
      </c>
      <c r="L52" s="29">
        <v>0</v>
      </c>
      <c r="M52" s="29">
        <v>1</v>
      </c>
      <c r="N52" s="29">
        <v>0</v>
      </c>
      <c r="O52" s="29">
        <v>3</v>
      </c>
      <c r="P52" s="29">
        <v>3</v>
      </c>
      <c r="Q52" s="29"/>
      <c r="R52" s="29"/>
      <c r="S52" s="51">
        <v>1</v>
      </c>
    </row>
    <row r="53" spans="1:19" ht="64.5" x14ac:dyDescent="0.25">
      <c r="A53" s="10">
        <v>49</v>
      </c>
      <c r="B53" s="4" t="s">
        <v>6</v>
      </c>
      <c r="C53" s="26" t="s">
        <v>0</v>
      </c>
      <c r="D53" s="58" t="s">
        <v>383</v>
      </c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51">
        <v>0</v>
      </c>
    </row>
    <row r="54" spans="1:19" s="13" customFormat="1" x14ac:dyDescent="0.25">
      <c r="A54" s="16">
        <v>50</v>
      </c>
      <c r="B54" s="5" t="s">
        <v>23</v>
      </c>
      <c r="C54" s="33" t="s">
        <v>0</v>
      </c>
      <c r="D54" s="49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53"/>
    </row>
    <row r="55" spans="1:19" s="13" customFormat="1" x14ac:dyDescent="0.25">
      <c r="A55" s="16">
        <v>51</v>
      </c>
      <c r="B55" s="6" t="s">
        <v>25</v>
      </c>
      <c r="C55" s="33" t="s">
        <v>0</v>
      </c>
      <c r="D55" s="49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53"/>
    </row>
    <row r="56" spans="1:19" s="13" customFormat="1" x14ac:dyDescent="0.25">
      <c r="A56" s="16">
        <v>52</v>
      </c>
      <c r="B56" s="5" t="s">
        <v>24</v>
      </c>
      <c r="C56" s="33" t="s">
        <v>0</v>
      </c>
      <c r="D56" s="49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53"/>
    </row>
    <row r="57" spans="1:19" ht="51.75" x14ac:dyDescent="0.25">
      <c r="A57" s="10">
        <v>53</v>
      </c>
      <c r="B57" s="4" t="s">
        <v>64</v>
      </c>
      <c r="C57" s="26" t="s">
        <v>0</v>
      </c>
      <c r="D57" s="47" t="s">
        <v>242</v>
      </c>
      <c r="E57" s="29">
        <v>0</v>
      </c>
      <c r="F57" s="29">
        <v>0</v>
      </c>
      <c r="G57" s="29">
        <v>0</v>
      </c>
      <c r="H57" s="29">
        <v>0</v>
      </c>
      <c r="I57" s="29">
        <v>0</v>
      </c>
      <c r="J57" s="29">
        <v>0</v>
      </c>
      <c r="K57" s="29">
        <v>3</v>
      </c>
      <c r="L57" s="29">
        <v>3</v>
      </c>
      <c r="M57" s="29">
        <v>7</v>
      </c>
      <c r="N57" s="29">
        <v>6</v>
      </c>
      <c r="O57" s="29">
        <v>9</v>
      </c>
      <c r="P57" s="29">
        <v>9</v>
      </c>
      <c r="Q57" s="29"/>
      <c r="R57" s="29"/>
      <c r="S57" s="51">
        <v>4</v>
      </c>
    </row>
    <row r="58" spans="1:19" x14ac:dyDescent="0.25">
      <c r="A58" s="26"/>
      <c r="B58" s="26"/>
      <c r="C58" s="26"/>
      <c r="D58" s="46"/>
      <c r="E58" s="30">
        <f>SUM(E3:E57)</f>
        <v>632</v>
      </c>
      <c r="F58" s="44">
        <f t="shared" ref="F58:P58" si="0">SUM(F3:F57)</f>
        <v>560</v>
      </c>
      <c r="G58" s="44">
        <f t="shared" si="0"/>
        <v>544</v>
      </c>
      <c r="H58" s="44">
        <f t="shared" si="0"/>
        <v>499</v>
      </c>
      <c r="I58" s="44">
        <f t="shared" si="0"/>
        <v>938</v>
      </c>
      <c r="J58" s="44">
        <f t="shared" si="0"/>
        <v>831</v>
      </c>
      <c r="K58" s="44">
        <f t="shared" si="0"/>
        <v>1496</v>
      </c>
      <c r="L58" s="44">
        <f t="shared" si="0"/>
        <v>1428</v>
      </c>
      <c r="M58" s="44">
        <f t="shared" si="0"/>
        <v>2176</v>
      </c>
      <c r="N58" s="44">
        <f t="shared" si="0"/>
        <v>2040</v>
      </c>
      <c r="O58" s="44">
        <f t="shared" si="0"/>
        <v>2252</v>
      </c>
      <c r="P58" s="44">
        <f t="shared" si="0"/>
        <v>2173</v>
      </c>
      <c r="Q58" s="44"/>
      <c r="R58" s="44"/>
      <c r="S58" s="51"/>
    </row>
    <row r="62" spans="1:19" x14ac:dyDescent="0.25">
      <c r="B62" s="9" t="s">
        <v>355</v>
      </c>
      <c r="C62" s="9">
        <f>E58+G58+I58+K58+M58+O58</f>
        <v>8038</v>
      </c>
    </row>
    <row r="63" spans="1:19" x14ac:dyDescent="0.25">
      <c r="B63" s="9" t="s">
        <v>356</v>
      </c>
      <c r="C63" s="9">
        <f>F58+H58+J58+L58+N58+P58</f>
        <v>7531</v>
      </c>
    </row>
    <row r="67" spans="2:3" x14ac:dyDescent="0.25">
      <c r="B67" s="9" t="s">
        <v>355</v>
      </c>
      <c r="C67" s="9">
        <f>C62+IE!C44+MN!C48+EI!D43</f>
        <v>22245</v>
      </c>
    </row>
    <row r="68" spans="2:3" x14ac:dyDescent="0.25">
      <c r="B68" s="9" t="s">
        <v>356</v>
      </c>
      <c r="C68" s="9">
        <f>C63+IE!C45+MN!C49+EI!D44</f>
        <v>20732</v>
      </c>
    </row>
    <row r="69" spans="2:3" x14ac:dyDescent="0.25">
      <c r="B69" s="9" t="s">
        <v>357</v>
      </c>
      <c r="C69" s="9">
        <f>O58+IE!O40+MN!O46+EI!O39</f>
        <v>6628</v>
      </c>
    </row>
    <row r="70" spans="2:3" x14ac:dyDescent="0.25">
      <c r="B70" s="9" t="s">
        <v>358</v>
      </c>
      <c r="C70" s="9">
        <f>P58+IE!P40+MN!P46+EI!P39</f>
        <v>6257</v>
      </c>
    </row>
  </sheetData>
  <autoFilter ref="A2:S58" xr:uid="{32741BA0-D64A-45E2-B8C0-04A74B9FF349}"/>
  <mergeCells count="12">
    <mergeCell ref="S1:S2"/>
    <mergeCell ref="Q1:R1"/>
    <mergeCell ref="A1:A2"/>
    <mergeCell ref="B1:B2"/>
    <mergeCell ref="C1:C2"/>
    <mergeCell ref="D1:D2"/>
    <mergeCell ref="O1:P1"/>
    <mergeCell ref="E1:F1"/>
    <mergeCell ref="G1:H1"/>
    <mergeCell ref="I1:J1"/>
    <mergeCell ref="K1:L1"/>
    <mergeCell ref="M1:N1"/>
  </mergeCells>
  <phoneticPr fontId="13" type="noConversion"/>
  <conditionalFormatting sqref="B1 B3:B1048576">
    <cfRule type="duplicateValues" dxfId="5" priority="1"/>
  </conditionalFormatting>
  <hyperlinks>
    <hyperlink ref="D49" r:id="rId1" xr:uid="{661D00C8-7F34-486F-B70D-B34DF18D1042}"/>
    <hyperlink ref="D41" r:id="rId2" xr:uid="{7046F398-8B80-42F4-B3C4-8347FE53B500}"/>
    <hyperlink ref="D53" r:id="rId3" xr:uid="{1FF62BD9-70B2-40B9-9BE0-29298ACAA550}"/>
    <hyperlink ref="D46" r:id="rId4" xr:uid="{1EF460A6-714A-4DE7-BE2C-49D5D589555F}"/>
    <hyperlink ref="D3" r:id="rId5" xr:uid="{CF6E74DC-AD2B-472B-8416-14C341711DFC}"/>
    <hyperlink ref="D4" r:id="rId6" xr:uid="{CEBCF148-58BB-45A6-97E4-388094DAA9D8}"/>
    <hyperlink ref="D5" r:id="rId7" xr:uid="{525FB651-7FB3-4305-9D50-04243CD6203E}"/>
    <hyperlink ref="D6" r:id="rId8" xr:uid="{C9D02FA5-3FBF-4FB1-9370-EC430CD355C2}"/>
    <hyperlink ref="D7" r:id="rId9" xr:uid="{5602D3C1-162D-485A-A9C3-3564E1708CA7}"/>
    <hyperlink ref="D8" r:id="rId10" xr:uid="{3B454E22-9E7D-4B38-9B01-51545F2AC5B4}"/>
    <hyperlink ref="D9" r:id="rId11" xr:uid="{96E2357A-DA91-41F2-B971-09E589757781}"/>
    <hyperlink ref="D10" r:id="rId12" xr:uid="{632E8273-BCEE-447A-9A6D-47DC91011681}"/>
    <hyperlink ref="D11" r:id="rId13" xr:uid="{C000B3CD-D96C-4848-885D-B1F436D267E1}"/>
    <hyperlink ref="D12" r:id="rId14" xr:uid="{4748EC50-5F56-49CD-9384-C64EEE8159B8}"/>
    <hyperlink ref="D13" r:id="rId15" xr:uid="{32B83DCC-10FF-47D5-8CBA-D6321F6CB1EB}"/>
    <hyperlink ref="D14" r:id="rId16" xr:uid="{5902F97E-0B7B-4672-AE30-EBFBF204BF10}"/>
    <hyperlink ref="D15" r:id="rId17" xr:uid="{79446B79-B50A-4270-9199-1D3DAC74400D}"/>
    <hyperlink ref="D16" r:id="rId18" xr:uid="{588D5D19-D888-4A5B-8AD4-4CE6ED9C9F04}"/>
    <hyperlink ref="D17" r:id="rId19" xr:uid="{FFBF6471-8B89-4256-93B3-4259BDBCA95F}"/>
    <hyperlink ref="D19" r:id="rId20" xr:uid="{610B8515-20E9-4052-81A9-990F528C21B7}"/>
    <hyperlink ref="D20" r:id="rId21" xr:uid="{13CFFBE5-736C-446A-AB2E-C8EAADACA72E}"/>
    <hyperlink ref="D21" r:id="rId22" xr:uid="{1A8C2A17-D94F-4FCE-9516-400B106DFD3C}"/>
    <hyperlink ref="D22" r:id="rId23" xr:uid="{632AB1F8-B9D2-445E-A420-9F0D7F862656}"/>
    <hyperlink ref="D23" r:id="rId24" xr:uid="{BC8CB2B7-FBF5-494A-802C-3BD9D5DAB1AA}"/>
    <hyperlink ref="D24" r:id="rId25" xr:uid="{1EB644C8-5D52-4DBA-AEE0-7EBB27F129CF}"/>
    <hyperlink ref="D25" r:id="rId26" xr:uid="{D38E7ADC-734D-4B3B-A480-74764831ECA0}"/>
    <hyperlink ref="D26" r:id="rId27" xr:uid="{D07CEDF7-0D44-45EA-AA52-D17FCE1359EF}"/>
    <hyperlink ref="D27" r:id="rId28" xr:uid="{6B67751A-5572-421B-8747-7ABECC371822}"/>
    <hyperlink ref="D28" r:id="rId29" xr:uid="{D91FE86A-F103-4E76-946A-25C1BB15CC6E}"/>
    <hyperlink ref="D29" r:id="rId30" xr:uid="{66C5F3BF-67B5-44FF-A3D6-726522F86B5D}"/>
    <hyperlink ref="D30" r:id="rId31" xr:uid="{867C8C35-079E-426D-9560-638DECB7D657}"/>
    <hyperlink ref="D31" r:id="rId32" xr:uid="{436522AB-BE6D-42B8-81AE-7E80E5229741}"/>
    <hyperlink ref="D33" r:id="rId33" xr:uid="{4427FE9A-8095-4F85-B050-2769FDFC7BD7}"/>
    <hyperlink ref="D34" r:id="rId34" xr:uid="{81BA12FE-E47F-437A-995B-D117B05CC0EA}"/>
    <hyperlink ref="D35" r:id="rId35" xr:uid="{928720CA-A840-4FA8-ACDF-DEFE818BDD85}"/>
    <hyperlink ref="D36" r:id="rId36" xr:uid="{4AE39AB2-3800-40CA-B207-0B369EA0B1DD}"/>
    <hyperlink ref="D37" r:id="rId37" xr:uid="{2C2D8CD2-633C-4021-925F-A152769C9186}"/>
    <hyperlink ref="D38" r:id="rId38" xr:uid="{4DA1CAB2-11F5-4905-9BDA-1E8C5CE81223}"/>
    <hyperlink ref="D39" r:id="rId39" xr:uid="{FD1B5E8A-F721-4E3E-89E5-4DD1DD2CCC5E}"/>
    <hyperlink ref="D40" r:id="rId40" xr:uid="{D90F30A6-6F8A-43F8-A40B-610CB8BF9EAF}"/>
    <hyperlink ref="D42" r:id="rId41" xr:uid="{6FD9CC2B-F7FA-4441-871A-539B0517E7D5}"/>
    <hyperlink ref="D43" r:id="rId42" xr:uid="{29EC0DC8-404C-4B95-A892-8B4484AA4F77}"/>
    <hyperlink ref="D44" r:id="rId43" xr:uid="{7AD11C6F-464D-42F4-8D32-1B21A226CA53}"/>
    <hyperlink ref="D45" r:id="rId44" xr:uid="{F9F0F11D-3407-4AD8-8151-711FF2D79329}"/>
    <hyperlink ref="D47" r:id="rId45" xr:uid="{DB83587B-B509-4F49-89FC-573ED2541091}"/>
    <hyperlink ref="D51" r:id="rId46" xr:uid="{CE4B3EE5-DBEA-4FC9-94DE-53330571C727}"/>
    <hyperlink ref="D52" r:id="rId47" xr:uid="{BCC17A3F-6A9B-4683-8216-9B6DEFB48A1B}"/>
    <hyperlink ref="D50" r:id="rId48" xr:uid="{619EF9F7-3F03-49A6-9572-A05CB9F861E7}"/>
    <hyperlink ref="D57" r:id="rId49" xr:uid="{FF0FB1E5-31FB-4DE4-83D3-1136E7276B2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D9BF9-AD9B-43AB-8365-706F27797024}">
  <sheetPr filterMode="1"/>
  <dimension ref="A1:S45"/>
  <sheetViews>
    <sheetView topLeftCell="C1" zoomScale="90" zoomScaleNormal="90" workbookViewId="0">
      <pane ySplit="1" topLeftCell="A15" activePane="bottomLeft" state="frozen"/>
      <selection pane="bottomLeft" activeCell="E2" sqref="E1:N1048576"/>
    </sheetView>
  </sheetViews>
  <sheetFormatPr defaultRowHeight="12.75" x14ac:dyDescent="0.2"/>
  <cols>
    <col min="2" max="2" width="41" customWidth="1"/>
    <col min="3" max="3" width="8.42578125" customWidth="1"/>
    <col min="4" max="4" width="17.140625" style="57" customWidth="1"/>
    <col min="5" max="5" width="5.85546875" hidden="1" customWidth="1"/>
    <col min="6" max="7" width="7.7109375" hidden="1" customWidth="1"/>
    <col min="8" max="9" width="10.7109375" hidden="1" customWidth="1"/>
    <col min="10" max="14" width="8.42578125" hidden="1" customWidth="1"/>
    <col min="15" max="16" width="8.42578125" customWidth="1"/>
    <col min="17" max="17" width="10.42578125" style="24" customWidth="1"/>
  </cols>
  <sheetData>
    <row r="1" spans="1:19" ht="15.75" x14ac:dyDescent="0.2">
      <c r="A1" s="64" t="s">
        <v>68</v>
      </c>
      <c r="B1" s="64" t="s">
        <v>69</v>
      </c>
      <c r="C1" s="63" t="s">
        <v>13</v>
      </c>
      <c r="D1" s="65" t="s">
        <v>67</v>
      </c>
      <c r="E1" s="63">
        <v>2020</v>
      </c>
      <c r="F1" s="63"/>
      <c r="G1" s="63">
        <v>2021</v>
      </c>
      <c r="H1" s="63"/>
      <c r="I1" s="63">
        <v>2022</v>
      </c>
      <c r="J1" s="63"/>
      <c r="K1" s="63">
        <v>2023</v>
      </c>
      <c r="L1" s="63"/>
      <c r="M1" s="63">
        <v>2024</v>
      </c>
      <c r="N1" s="63"/>
      <c r="O1" s="63">
        <v>2025</v>
      </c>
      <c r="P1" s="63"/>
      <c r="Q1" s="63">
        <v>2026</v>
      </c>
      <c r="R1" s="63"/>
      <c r="S1" s="63" t="s">
        <v>4</v>
      </c>
    </row>
    <row r="2" spans="1:19" ht="47.25" x14ac:dyDescent="0.2">
      <c r="A2" s="64"/>
      <c r="B2" s="64"/>
      <c r="C2" s="63"/>
      <c r="D2" s="65"/>
      <c r="E2" s="36" t="s">
        <v>379</v>
      </c>
      <c r="F2" s="35" t="s">
        <v>380</v>
      </c>
      <c r="G2" s="36" t="s">
        <v>379</v>
      </c>
      <c r="H2" s="35" t="s">
        <v>380</v>
      </c>
      <c r="I2" s="36" t="s">
        <v>379</v>
      </c>
      <c r="J2" s="35" t="s">
        <v>380</v>
      </c>
      <c r="K2" s="36" t="s">
        <v>379</v>
      </c>
      <c r="L2" s="35" t="s">
        <v>380</v>
      </c>
      <c r="M2" s="36" t="s">
        <v>379</v>
      </c>
      <c r="N2" s="35" t="s">
        <v>380</v>
      </c>
      <c r="O2" s="36" t="s">
        <v>379</v>
      </c>
      <c r="P2" s="35" t="s">
        <v>380</v>
      </c>
      <c r="Q2" s="36" t="s">
        <v>379</v>
      </c>
      <c r="R2" s="35" t="s">
        <v>380</v>
      </c>
      <c r="S2" s="63"/>
    </row>
    <row r="3" spans="1:19" ht="51" x14ac:dyDescent="0.2">
      <c r="A3" s="10" t="s">
        <v>70</v>
      </c>
      <c r="B3" s="3" t="s">
        <v>143</v>
      </c>
      <c r="C3" s="27" t="s">
        <v>1</v>
      </c>
      <c r="D3" s="47" t="s">
        <v>243</v>
      </c>
      <c r="E3" s="27">
        <v>7</v>
      </c>
      <c r="F3" s="27">
        <v>7</v>
      </c>
      <c r="G3" s="27">
        <v>6</v>
      </c>
      <c r="H3" s="27">
        <v>5</v>
      </c>
      <c r="I3" s="27">
        <v>24</v>
      </c>
      <c r="J3" s="27">
        <v>24</v>
      </c>
      <c r="K3" s="27">
        <v>23</v>
      </c>
      <c r="L3" s="27">
        <v>21</v>
      </c>
      <c r="M3" s="27">
        <v>25</v>
      </c>
      <c r="N3" s="27">
        <v>25</v>
      </c>
      <c r="O3" s="27">
        <v>32</v>
      </c>
      <c r="P3" s="27">
        <v>32</v>
      </c>
      <c r="Q3" s="37"/>
      <c r="R3" s="27"/>
      <c r="S3" s="37">
        <v>6</v>
      </c>
    </row>
    <row r="4" spans="1:19" ht="51" x14ac:dyDescent="0.2">
      <c r="A4" s="10" t="s">
        <v>71</v>
      </c>
      <c r="B4" s="3" t="s">
        <v>44</v>
      </c>
      <c r="C4" s="27" t="s">
        <v>1</v>
      </c>
      <c r="D4" s="47" t="s">
        <v>244</v>
      </c>
      <c r="E4" s="27">
        <v>15</v>
      </c>
      <c r="F4" s="27">
        <v>15</v>
      </c>
      <c r="G4" s="27">
        <v>18</v>
      </c>
      <c r="H4" s="27">
        <v>14</v>
      </c>
      <c r="I4" s="27">
        <v>38</v>
      </c>
      <c r="J4" s="27">
        <v>33</v>
      </c>
      <c r="K4" s="27">
        <v>41</v>
      </c>
      <c r="L4" s="27">
        <v>41</v>
      </c>
      <c r="M4" s="27">
        <v>46</v>
      </c>
      <c r="N4" s="27">
        <v>43</v>
      </c>
      <c r="O4" s="27">
        <v>66</v>
      </c>
      <c r="P4" s="27">
        <v>65</v>
      </c>
      <c r="Q4" s="37"/>
      <c r="R4" s="27"/>
      <c r="S4" s="37">
        <v>9</v>
      </c>
    </row>
    <row r="5" spans="1:19" ht="51" x14ac:dyDescent="0.2">
      <c r="A5" s="10" t="s">
        <v>72</v>
      </c>
      <c r="B5" s="3" t="s">
        <v>144</v>
      </c>
      <c r="C5" s="27" t="s">
        <v>1</v>
      </c>
      <c r="D5" s="47" t="s">
        <v>245</v>
      </c>
      <c r="E5" s="27">
        <v>2</v>
      </c>
      <c r="F5" s="27">
        <v>2</v>
      </c>
      <c r="G5" s="27">
        <v>8</v>
      </c>
      <c r="H5" s="27">
        <v>8</v>
      </c>
      <c r="I5" s="27">
        <v>25</v>
      </c>
      <c r="J5" s="27">
        <v>23</v>
      </c>
      <c r="K5" s="27">
        <v>24</v>
      </c>
      <c r="L5" s="27">
        <v>24</v>
      </c>
      <c r="M5" s="27">
        <v>31</v>
      </c>
      <c r="N5" s="27">
        <v>31</v>
      </c>
      <c r="O5" s="27">
        <v>21</v>
      </c>
      <c r="P5" s="27">
        <v>21</v>
      </c>
      <c r="Q5" s="37"/>
      <c r="R5" s="27"/>
      <c r="S5" s="37">
        <v>4</v>
      </c>
    </row>
    <row r="6" spans="1:19" ht="51" x14ac:dyDescent="0.2">
      <c r="A6" s="10" t="s">
        <v>73</v>
      </c>
      <c r="B6" s="3" t="s">
        <v>145</v>
      </c>
      <c r="C6" s="27" t="s">
        <v>1</v>
      </c>
      <c r="D6" s="47" t="s">
        <v>246</v>
      </c>
      <c r="E6" s="27">
        <v>35</v>
      </c>
      <c r="F6" s="27">
        <v>33</v>
      </c>
      <c r="G6" s="27">
        <v>41</v>
      </c>
      <c r="H6" s="27">
        <v>36</v>
      </c>
      <c r="I6" s="27">
        <v>55</v>
      </c>
      <c r="J6" s="27">
        <v>45</v>
      </c>
      <c r="K6" s="27">
        <v>82</v>
      </c>
      <c r="L6" s="27">
        <v>77</v>
      </c>
      <c r="M6" s="27">
        <v>105</v>
      </c>
      <c r="N6" s="27">
        <v>105</v>
      </c>
      <c r="O6" s="27">
        <v>123</v>
      </c>
      <c r="P6" s="27">
        <v>123</v>
      </c>
      <c r="Q6" s="37"/>
      <c r="R6" s="27"/>
      <c r="S6" s="37">
        <v>13</v>
      </c>
    </row>
    <row r="7" spans="1:19" s="19" customFormat="1" ht="51" x14ac:dyDescent="0.2">
      <c r="A7" s="17" t="s">
        <v>74</v>
      </c>
      <c r="B7" s="18" t="s">
        <v>146</v>
      </c>
      <c r="C7" s="38" t="s">
        <v>1</v>
      </c>
      <c r="D7" s="59" t="s">
        <v>247</v>
      </c>
      <c r="E7" s="38">
        <v>10</v>
      </c>
      <c r="F7" s="38">
        <v>8</v>
      </c>
      <c r="G7" s="38">
        <v>17</v>
      </c>
      <c r="H7" s="38">
        <v>15</v>
      </c>
      <c r="I7" s="38">
        <v>25</v>
      </c>
      <c r="J7" s="38">
        <v>19</v>
      </c>
      <c r="K7" s="38">
        <v>59</v>
      </c>
      <c r="L7" s="38">
        <v>49</v>
      </c>
      <c r="M7" s="38">
        <v>89</v>
      </c>
      <c r="N7" s="38">
        <v>84</v>
      </c>
      <c r="O7" s="38">
        <v>112</v>
      </c>
      <c r="P7" s="38">
        <v>97</v>
      </c>
      <c r="Q7" s="38"/>
      <c r="R7" s="38"/>
      <c r="S7" s="39">
        <v>11</v>
      </c>
    </row>
    <row r="8" spans="1:19" s="19" customFormat="1" ht="51" hidden="1" x14ac:dyDescent="0.2">
      <c r="A8" s="17"/>
      <c r="B8" s="18"/>
      <c r="C8" s="38"/>
      <c r="D8" s="55" t="s">
        <v>344</v>
      </c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9"/>
    </row>
    <row r="9" spans="1:19" ht="51" x14ac:dyDescent="0.2">
      <c r="A9" s="10" t="s">
        <v>75</v>
      </c>
      <c r="B9" s="3" t="s">
        <v>147</v>
      </c>
      <c r="C9" s="27" t="s">
        <v>1</v>
      </c>
      <c r="D9" s="47" t="s">
        <v>248</v>
      </c>
      <c r="E9" s="27">
        <v>24</v>
      </c>
      <c r="F9" s="27">
        <v>24</v>
      </c>
      <c r="G9" s="27">
        <v>28</v>
      </c>
      <c r="H9" s="27">
        <v>28</v>
      </c>
      <c r="I9" s="27">
        <v>21</v>
      </c>
      <c r="J9" s="27">
        <v>21</v>
      </c>
      <c r="K9" s="27">
        <v>32</v>
      </c>
      <c r="L9" s="27">
        <v>27</v>
      </c>
      <c r="M9" s="27">
        <v>51</v>
      </c>
      <c r="N9" s="27">
        <v>48</v>
      </c>
      <c r="O9" s="27">
        <v>64</v>
      </c>
      <c r="P9" s="27">
        <v>64</v>
      </c>
      <c r="Q9" s="37"/>
      <c r="R9" s="27"/>
      <c r="S9" s="37">
        <v>9</v>
      </c>
    </row>
    <row r="10" spans="1:19" ht="51" x14ac:dyDescent="0.2">
      <c r="A10" s="10" t="s">
        <v>76</v>
      </c>
      <c r="B10" s="3" t="s">
        <v>148</v>
      </c>
      <c r="C10" s="27" t="s">
        <v>1</v>
      </c>
      <c r="D10" s="47" t="s">
        <v>249</v>
      </c>
      <c r="E10" s="27">
        <v>2</v>
      </c>
      <c r="F10" s="27">
        <v>2</v>
      </c>
      <c r="G10" s="27">
        <v>7</v>
      </c>
      <c r="H10" s="27">
        <v>7</v>
      </c>
      <c r="I10" s="27">
        <v>14</v>
      </c>
      <c r="J10" s="27">
        <v>14</v>
      </c>
      <c r="K10" s="27">
        <v>17</v>
      </c>
      <c r="L10" s="27">
        <v>17</v>
      </c>
      <c r="M10" s="27">
        <v>20</v>
      </c>
      <c r="N10" s="27">
        <v>18</v>
      </c>
      <c r="O10" s="27">
        <v>39</v>
      </c>
      <c r="P10" s="27">
        <v>39</v>
      </c>
      <c r="Q10" s="37"/>
      <c r="R10" s="27"/>
      <c r="S10" s="37">
        <v>4</v>
      </c>
    </row>
    <row r="11" spans="1:19" ht="63.75" x14ac:dyDescent="0.2">
      <c r="A11" s="10" t="s">
        <v>77</v>
      </c>
      <c r="B11" s="3" t="s">
        <v>45</v>
      </c>
      <c r="C11" s="27" t="s">
        <v>1</v>
      </c>
      <c r="D11" s="47" t="s">
        <v>250</v>
      </c>
      <c r="E11" s="27">
        <v>0</v>
      </c>
      <c r="F11" s="27">
        <v>0</v>
      </c>
      <c r="G11" s="27">
        <v>0</v>
      </c>
      <c r="H11" s="27">
        <v>0</v>
      </c>
      <c r="I11" s="27">
        <v>0</v>
      </c>
      <c r="J11" s="27">
        <v>0</v>
      </c>
      <c r="K11" s="27">
        <v>0</v>
      </c>
      <c r="L11" s="27">
        <v>0</v>
      </c>
      <c r="M11" s="27">
        <v>0</v>
      </c>
      <c r="N11" s="27">
        <v>0</v>
      </c>
      <c r="O11" s="27">
        <v>2</v>
      </c>
      <c r="P11" s="27">
        <v>2</v>
      </c>
      <c r="Q11" s="37"/>
      <c r="R11" s="27"/>
      <c r="S11" s="37">
        <v>1</v>
      </c>
    </row>
    <row r="12" spans="1:19" ht="51" x14ac:dyDescent="0.2">
      <c r="A12" s="10" t="s">
        <v>78</v>
      </c>
      <c r="B12" s="3" t="s">
        <v>149</v>
      </c>
      <c r="C12" s="27" t="s">
        <v>1</v>
      </c>
      <c r="D12" s="47" t="s">
        <v>251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v>0</v>
      </c>
      <c r="K12" s="27">
        <v>0</v>
      </c>
      <c r="L12" s="27">
        <v>0</v>
      </c>
      <c r="M12" s="27">
        <v>2</v>
      </c>
      <c r="N12" s="27">
        <v>2</v>
      </c>
      <c r="O12" s="27">
        <v>1</v>
      </c>
      <c r="P12" s="27">
        <v>1</v>
      </c>
      <c r="Q12" s="37"/>
      <c r="R12" s="27"/>
      <c r="S12" s="37">
        <v>1</v>
      </c>
    </row>
    <row r="13" spans="1:19" s="19" customFormat="1" ht="51" x14ac:dyDescent="0.2">
      <c r="A13" s="17" t="s">
        <v>80</v>
      </c>
      <c r="B13" s="20" t="s">
        <v>150</v>
      </c>
      <c r="C13" s="38" t="s">
        <v>1</v>
      </c>
      <c r="D13" s="59" t="s">
        <v>252</v>
      </c>
      <c r="E13" s="38">
        <v>0</v>
      </c>
      <c r="F13" s="38">
        <v>0</v>
      </c>
      <c r="G13" s="38">
        <v>0</v>
      </c>
      <c r="H13" s="38">
        <v>0</v>
      </c>
      <c r="I13" s="38">
        <v>1</v>
      </c>
      <c r="J13" s="38">
        <v>1</v>
      </c>
      <c r="K13" s="38">
        <v>3</v>
      </c>
      <c r="L13" s="38">
        <v>3</v>
      </c>
      <c r="M13" s="38">
        <v>4</v>
      </c>
      <c r="N13" s="38">
        <v>4</v>
      </c>
      <c r="O13" s="38">
        <v>5</v>
      </c>
      <c r="P13" s="38">
        <v>5</v>
      </c>
      <c r="Q13" s="38"/>
      <c r="R13" s="38"/>
      <c r="S13" s="39">
        <v>2</v>
      </c>
    </row>
    <row r="14" spans="1:19" s="19" customFormat="1" ht="63.75" hidden="1" x14ac:dyDescent="0.2">
      <c r="A14" s="17"/>
      <c r="B14" s="20"/>
      <c r="C14" s="38"/>
      <c r="D14" s="55" t="s">
        <v>345</v>
      </c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9"/>
    </row>
    <row r="15" spans="1:19" ht="51" x14ac:dyDescent="0.2">
      <c r="A15" s="10" t="s">
        <v>81</v>
      </c>
      <c r="B15" s="3" t="s">
        <v>151</v>
      </c>
      <c r="C15" s="27" t="s">
        <v>1</v>
      </c>
      <c r="D15" s="47" t="s">
        <v>253</v>
      </c>
      <c r="E15" s="27">
        <v>0</v>
      </c>
      <c r="F15" s="27">
        <v>0</v>
      </c>
      <c r="G15" s="27">
        <v>1</v>
      </c>
      <c r="H15" s="27">
        <v>1</v>
      </c>
      <c r="I15" s="27">
        <v>1</v>
      </c>
      <c r="J15" s="27">
        <v>1</v>
      </c>
      <c r="K15" s="27">
        <v>2</v>
      </c>
      <c r="L15" s="27">
        <v>2</v>
      </c>
      <c r="M15" s="27">
        <v>7</v>
      </c>
      <c r="N15" s="27">
        <v>7</v>
      </c>
      <c r="O15" s="27">
        <v>3</v>
      </c>
      <c r="P15" s="27">
        <v>3</v>
      </c>
      <c r="Q15" s="37"/>
      <c r="R15" s="27"/>
      <c r="S15" s="37">
        <v>2</v>
      </c>
    </row>
    <row r="16" spans="1:19" ht="51" x14ac:dyDescent="0.2">
      <c r="A16" s="10" t="s">
        <v>82</v>
      </c>
      <c r="B16" s="4" t="s">
        <v>46</v>
      </c>
      <c r="C16" s="27" t="s">
        <v>1</v>
      </c>
      <c r="D16" s="47" t="s">
        <v>254</v>
      </c>
      <c r="E16" s="27">
        <v>0</v>
      </c>
      <c r="F16" s="27">
        <v>0</v>
      </c>
      <c r="G16" s="27">
        <v>2</v>
      </c>
      <c r="H16" s="27">
        <v>2</v>
      </c>
      <c r="I16" s="27">
        <v>2</v>
      </c>
      <c r="J16" s="27">
        <v>2</v>
      </c>
      <c r="K16" s="27">
        <v>3</v>
      </c>
      <c r="L16" s="27">
        <v>3</v>
      </c>
      <c r="M16" s="27">
        <v>5</v>
      </c>
      <c r="N16" s="27">
        <v>5</v>
      </c>
      <c r="O16" s="27">
        <v>10</v>
      </c>
      <c r="P16" s="27">
        <v>10</v>
      </c>
      <c r="Q16" s="37"/>
      <c r="R16" s="27"/>
      <c r="S16" s="37">
        <v>3</v>
      </c>
    </row>
    <row r="17" spans="1:19" ht="51" x14ac:dyDescent="0.2">
      <c r="A17" s="10" t="s">
        <v>83</v>
      </c>
      <c r="B17" s="4" t="s">
        <v>371</v>
      </c>
      <c r="C17" s="27" t="s">
        <v>1</v>
      </c>
      <c r="D17" s="47" t="s">
        <v>386</v>
      </c>
      <c r="E17" s="27">
        <v>10</v>
      </c>
      <c r="F17" s="27">
        <v>9</v>
      </c>
      <c r="G17" s="27">
        <v>15</v>
      </c>
      <c r="H17" s="27">
        <v>14</v>
      </c>
      <c r="I17" s="27">
        <v>11</v>
      </c>
      <c r="J17" s="27">
        <v>9</v>
      </c>
      <c r="K17" s="27">
        <v>28</v>
      </c>
      <c r="L17" s="27">
        <v>20</v>
      </c>
      <c r="M17" s="27">
        <v>30</v>
      </c>
      <c r="N17" s="27">
        <v>30</v>
      </c>
      <c r="O17" s="27">
        <v>35</v>
      </c>
      <c r="P17" s="27">
        <v>29</v>
      </c>
      <c r="Q17" s="37"/>
      <c r="R17" s="27"/>
      <c r="S17" s="37">
        <v>7</v>
      </c>
    </row>
    <row r="18" spans="1:19" ht="51" x14ac:dyDescent="0.2">
      <c r="A18" s="10" t="s">
        <v>85</v>
      </c>
      <c r="B18" s="3" t="s">
        <v>372</v>
      </c>
      <c r="C18" s="27" t="s">
        <v>1</v>
      </c>
      <c r="D18" s="47" t="s">
        <v>255</v>
      </c>
      <c r="E18" s="27">
        <v>17</v>
      </c>
      <c r="F18" s="27">
        <v>11</v>
      </c>
      <c r="G18" s="27">
        <v>27</v>
      </c>
      <c r="H18" s="27">
        <v>22</v>
      </c>
      <c r="I18" s="27">
        <v>67</v>
      </c>
      <c r="J18" s="27">
        <v>57</v>
      </c>
      <c r="K18" s="27">
        <v>112</v>
      </c>
      <c r="L18" s="27">
        <v>99</v>
      </c>
      <c r="M18" s="27">
        <v>123</v>
      </c>
      <c r="N18" s="27">
        <v>120</v>
      </c>
      <c r="O18" s="27">
        <v>120</v>
      </c>
      <c r="P18" s="27">
        <v>117</v>
      </c>
      <c r="Q18" s="37"/>
      <c r="R18" s="27"/>
      <c r="S18" s="37">
        <v>13</v>
      </c>
    </row>
    <row r="19" spans="1:19" ht="51" x14ac:dyDescent="0.2">
      <c r="A19" s="10" t="s">
        <v>87</v>
      </c>
      <c r="B19" s="3" t="s">
        <v>152</v>
      </c>
      <c r="C19" s="27" t="s">
        <v>1</v>
      </c>
      <c r="D19" s="47" t="s">
        <v>256</v>
      </c>
      <c r="E19" s="27">
        <v>0</v>
      </c>
      <c r="F19" s="27">
        <v>0</v>
      </c>
      <c r="G19" s="27">
        <v>0</v>
      </c>
      <c r="H19" s="27">
        <v>0</v>
      </c>
      <c r="I19" s="27">
        <v>3</v>
      </c>
      <c r="J19" s="27">
        <v>3</v>
      </c>
      <c r="K19" s="27">
        <v>5</v>
      </c>
      <c r="L19" s="27">
        <v>5</v>
      </c>
      <c r="M19" s="27">
        <v>14</v>
      </c>
      <c r="N19" s="27">
        <v>14</v>
      </c>
      <c r="O19" s="27">
        <v>8</v>
      </c>
      <c r="P19" s="27">
        <v>8</v>
      </c>
      <c r="Q19" s="37"/>
      <c r="R19" s="27"/>
      <c r="S19" s="37">
        <v>2</v>
      </c>
    </row>
    <row r="20" spans="1:19" s="13" customFormat="1" ht="15.75" x14ac:dyDescent="0.2">
      <c r="A20" s="16" t="s">
        <v>89</v>
      </c>
      <c r="B20" s="5" t="s">
        <v>153</v>
      </c>
      <c r="C20" s="40" t="s">
        <v>1</v>
      </c>
      <c r="D20" s="56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1"/>
    </row>
    <row r="21" spans="1:19" ht="51" x14ac:dyDescent="0.2">
      <c r="A21" s="10" t="s">
        <v>91</v>
      </c>
      <c r="B21" s="3" t="s">
        <v>154</v>
      </c>
      <c r="C21" s="27" t="s">
        <v>1</v>
      </c>
      <c r="D21" s="47" t="s">
        <v>257</v>
      </c>
      <c r="E21" s="27">
        <v>5</v>
      </c>
      <c r="F21" s="27">
        <v>5</v>
      </c>
      <c r="G21" s="27">
        <v>0</v>
      </c>
      <c r="H21" s="27">
        <v>0</v>
      </c>
      <c r="I21" s="27">
        <v>1</v>
      </c>
      <c r="J21" s="27">
        <v>1</v>
      </c>
      <c r="K21" s="27">
        <v>0</v>
      </c>
      <c r="L21" s="27">
        <v>0</v>
      </c>
      <c r="M21" s="27">
        <v>0</v>
      </c>
      <c r="N21" s="27">
        <v>0</v>
      </c>
      <c r="O21" s="27">
        <v>3</v>
      </c>
      <c r="P21" s="27">
        <v>3</v>
      </c>
      <c r="Q21" s="37"/>
      <c r="R21" s="27"/>
      <c r="S21" s="37">
        <v>2</v>
      </c>
    </row>
    <row r="22" spans="1:19" ht="51" x14ac:dyDescent="0.2">
      <c r="A22" s="10" t="s">
        <v>93</v>
      </c>
      <c r="B22" s="4" t="s">
        <v>155</v>
      </c>
      <c r="C22" s="27" t="s">
        <v>1</v>
      </c>
      <c r="D22" s="47" t="s">
        <v>258</v>
      </c>
      <c r="E22" s="27">
        <v>4</v>
      </c>
      <c r="F22" s="27">
        <v>4</v>
      </c>
      <c r="G22" s="27">
        <v>2</v>
      </c>
      <c r="H22" s="27">
        <v>2</v>
      </c>
      <c r="I22" s="27">
        <v>3</v>
      </c>
      <c r="J22" s="27">
        <v>2</v>
      </c>
      <c r="K22" s="27">
        <v>9</v>
      </c>
      <c r="L22" s="27">
        <v>9</v>
      </c>
      <c r="M22" s="27">
        <v>9</v>
      </c>
      <c r="N22" s="27">
        <v>9</v>
      </c>
      <c r="O22" s="27">
        <v>6</v>
      </c>
      <c r="P22" s="27">
        <v>6</v>
      </c>
      <c r="Q22" s="37"/>
      <c r="R22" s="27"/>
      <c r="S22" s="37">
        <v>4</v>
      </c>
    </row>
    <row r="23" spans="1:19" s="19" customFormat="1" ht="51" x14ac:dyDescent="0.2">
      <c r="A23" s="17" t="s">
        <v>95</v>
      </c>
      <c r="B23" s="18" t="s">
        <v>156</v>
      </c>
      <c r="C23" s="38" t="s">
        <v>1</v>
      </c>
      <c r="D23" s="59" t="s">
        <v>259</v>
      </c>
      <c r="E23" s="38">
        <v>6</v>
      </c>
      <c r="F23" s="38">
        <v>6</v>
      </c>
      <c r="G23" s="38">
        <v>6</v>
      </c>
      <c r="H23" s="38">
        <v>6</v>
      </c>
      <c r="I23" s="38">
        <v>5</v>
      </c>
      <c r="J23" s="38">
        <v>5</v>
      </c>
      <c r="K23" s="38">
        <v>6</v>
      </c>
      <c r="L23" s="38">
        <v>6</v>
      </c>
      <c r="M23" s="38">
        <v>23</v>
      </c>
      <c r="N23" s="38">
        <v>23</v>
      </c>
      <c r="O23" s="38">
        <v>23</v>
      </c>
      <c r="P23" s="38">
        <v>23</v>
      </c>
      <c r="Q23" s="38"/>
      <c r="R23" s="38"/>
      <c r="S23" s="39">
        <v>5</v>
      </c>
    </row>
    <row r="24" spans="1:19" s="19" customFormat="1" ht="63.75" hidden="1" x14ac:dyDescent="0.2">
      <c r="A24" s="17"/>
      <c r="B24" s="18"/>
      <c r="C24" s="38"/>
      <c r="D24" s="55" t="s">
        <v>346</v>
      </c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9"/>
    </row>
    <row r="25" spans="1:19" ht="51" x14ac:dyDescent="0.2">
      <c r="A25" s="10" t="s">
        <v>97</v>
      </c>
      <c r="B25" s="4" t="s">
        <v>157</v>
      </c>
      <c r="C25" s="27" t="s">
        <v>1</v>
      </c>
      <c r="D25" s="47" t="s">
        <v>260</v>
      </c>
      <c r="E25" s="27">
        <v>14</v>
      </c>
      <c r="F25" s="27">
        <v>12</v>
      </c>
      <c r="G25" s="27">
        <v>14</v>
      </c>
      <c r="H25" s="27">
        <v>13</v>
      </c>
      <c r="I25" s="27">
        <v>39</v>
      </c>
      <c r="J25" s="27">
        <v>36</v>
      </c>
      <c r="K25" s="27">
        <v>50</v>
      </c>
      <c r="L25" s="27">
        <v>50</v>
      </c>
      <c r="M25" s="27">
        <v>61</v>
      </c>
      <c r="N25" s="27">
        <v>61</v>
      </c>
      <c r="O25" s="27">
        <v>39</v>
      </c>
      <c r="P25" s="27">
        <v>39</v>
      </c>
      <c r="Q25" s="37"/>
      <c r="R25" s="27"/>
      <c r="S25" s="37">
        <v>8</v>
      </c>
    </row>
    <row r="26" spans="1:19" ht="51" x14ac:dyDescent="0.2">
      <c r="A26" s="10" t="s">
        <v>99</v>
      </c>
      <c r="B26" s="4" t="s">
        <v>158</v>
      </c>
      <c r="C26" s="27" t="s">
        <v>1</v>
      </c>
      <c r="D26" s="47" t="s">
        <v>261</v>
      </c>
      <c r="E26" s="27">
        <v>5</v>
      </c>
      <c r="F26" s="27">
        <v>5</v>
      </c>
      <c r="G26" s="27">
        <v>2</v>
      </c>
      <c r="H26" s="27">
        <v>2</v>
      </c>
      <c r="I26" s="27">
        <v>20</v>
      </c>
      <c r="J26" s="27">
        <v>19</v>
      </c>
      <c r="K26" s="27">
        <v>34</v>
      </c>
      <c r="L26" s="27">
        <v>34</v>
      </c>
      <c r="M26" s="27">
        <v>53</v>
      </c>
      <c r="N26" s="27">
        <v>53</v>
      </c>
      <c r="O26" s="27">
        <v>54</v>
      </c>
      <c r="P26" s="27">
        <v>54</v>
      </c>
      <c r="Q26" s="37"/>
      <c r="R26" s="27"/>
      <c r="S26" s="37">
        <v>7</v>
      </c>
    </row>
    <row r="27" spans="1:19" ht="51" x14ac:dyDescent="0.2">
      <c r="A27" s="10" t="s">
        <v>101</v>
      </c>
      <c r="B27" s="4" t="s">
        <v>48</v>
      </c>
      <c r="C27" s="27" t="s">
        <v>1</v>
      </c>
      <c r="D27" s="47" t="s">
        <v>262</v>
      </c>
      <c r="E27" s="27">
        <v>1</v>
      </c>
      <c r="F27" s="27">
        <v>1</v>
      </c>
      <c r="G27" s="27">
        <v>20</v>
      </c>
      <c r="H27" s="27">
        <v>20</v>
      </c>
      <c r="I27" s="27">
        <v>32</v>
      </c>
      <c r="J27" s="27">
        <v>32</v>
      </c>
      <c r="K27" s="27">
        <v>63</v>
      </c>
      <c r="L27" s="27">
        <v>63</v>
      </c>
      <c r="M27" s="27">
        <v>66</v>
      </c>
      <c r="N27" s="27">
        <v>65</v>
      </c>
      <c r="O27" s="27">
        <v>64</v>
      </c>
      <c r="P27" s="27">
        <v>64</v>
      </c>
      <c r="Q27" s="37"/>
      <c r="R27" s="27"/>
      <c r="S27" s="37">
        <v>5</v>
      </c>
    </row>
    <row r="28" spans="1:19" ht="51" x14ac:dyDescent="0.2">
      <c r="A28" s="10" t="s">
        <v>102</v>
      </c>
      <c r="B28" s="4" t="s">
        <v>47</v>
      </c>
      <c r="C28" s="27" t="s">
        <v>1</v>
      </c>
      <c r="D28" s="47" t="s">
        <v>263</v>
      </c>
      <c r="E28" s="27">
        <v>16</v>
      </c>
      <c r="F28" s="27">
        <v>16</v>
      </c>
      <c r="G28" s="27">
        <v>10</v>
      </c>
      <c r="H28" s="27">
        <v>10</v>
      </c>
      <c r="I28" s="27">
        <v>14</v>
      </c>
      <c r="J28" s="27">
        <v>13</v>
      </c>
      <c r="K28" s="27">
        <v>11</v>
      </c>
      <c r="L28" s="27">
        <v>11</v>
      </c>
      <c r="M28" s="27">
        <v>15</v>
      </c>
      <c r="N28" s="27">
        <v>15</v>
      </c>
      <c r="O28" s="27">
        <v>11</v>
      </c>
      <c r="P28" s="27">
        <v>11</v>
      </c>
      <c r="Q28" s="37"/>
      <c r="R28" s="27"/>
      <c r="S28" s="37">
        <v>6</v>
      </c>
    </row>
    <row r="29" spans="1:19" ht="51" x14ac:dyDescent="0.2">
      <c r="A29" s="10" t="s">
        <v>104</v>
      </c>
      <c r="B29" s="4" t="s">
        <v>51</v>
      </c>
      <c r="C29" s="27" t="s">
        <v>1</v>
      </c>
      <c r="D29" s="47" t="s">
        <v>264</v>
      </c>
      <c r="E29" s="27">
        <v>1</v>
      </c>
      <c r="F29" s="27">
        <v>1</v>
      </c>
      <c r="G29" s="27">
        <v>1</v>
      </c>
      <c r="H29" s="27">
        <v>1</v>
      </c>
      <c r="I29" s="27">
        <v>1</v>
      </c>
      <c r="J29" s="27">
        <v>1</v>
      </c>
      <c r="K29" s="27">
        <v>1</v>
      </c>
      <c r="L29" s="27">
        <v>1</v>
      </c>
      <c r="M29" s="27">
        <v>2</v>
      </c>
      <c r="N29" s="27">
        <v>2</v>
      </c>
      <c r="O29" s="27">
        <v>1</v>
      </c>
      <c r="P29" s="27">
        <v>1</v>
      </c>
      <c r="Q29" s="37"/>
      <c r="R29" s="27"/>
      <c r="S29" s="37">
        <v>2</v>
      </c>
    </row>
    <row r="30" spans="1:19" ht="51" x14ac:dyDescent="0.2">
      <c r="A30" s="10" t="s">
        <v>106</v>
      </c>
      <c r="B30" s="4" t="s">
        <v>159</v>
      </c>
      <c r="C30" s="27" t="s">
        <v>1</v>
      </c>
      <c r="D30" s="47" t="s">
        <v>265</v>
      </c>
      <c r="E30" s="42">
        <v>15</v>
      </c>
      <c r="F30" s="27">
        <v>15</v>
      </c>
      <c r="G30" s="27">
        <v>17</v>
      </c>
      <c r="H30" s="27">
        <v>17</v>
      </c>
      <c r="I30" s="27">
        <v>11</v>
      </c>
      <c r="J30" s="27">
        <v>11</v>
      </c>
      <c r="K30" s="27">
        <v>15</v>
      </c>
      <c r="L30" s="27">
        <v>15</v>
      </c>
      <c r="M30" s="27">
        <v>6</v>
      </c>
      <c r="N30" s="27">
        <v>6</v>
      </c>
      <c r="O30" s="27">
        <v>10</v>
      </c>
      <c r="P30" s="27">
        <v>10</v>
      </c>
      <c r="Q30" s="37"/>
      <c r="R30" s="27"/>
      <c r="S30" s="37">
        <v>5</v>
      </c>
    </row>
    <row r="31" spans="1:19" ht="51" x14ac:dyDescent="0.2">
      <c r="A31" s="10" t="s">
        <v>108</v>
      </c>
      <c r="B31" s="4" t="s">
        <v>49</v>
      </c>
      <c r="C31" s="27" t="s">
        <v>1</v>
      </c>
      <c r="D31" s="47" t="s">
        <v>266</v>
      </c>
      <c r="E31" s="42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1</v>
      </c>
      <c r="N31" s="27">
        <v>1</v>
      </c>
      <c r="O31" s="27">
        <v>9</v>
      </c>
      <c r="P31" s="27">
        <v>7</v>
      </c>
      <c r="Q31" s="37"/>
      <c r="R31" s="27"/>
      <c r="S31" s="37">
        <v>2</v>
      </c>
    </row>
    <row r="32" spans="1:19" ht="51" x14ac:dyDescent="0.2">
      <c r="A32" s="10" t="s">
        <v>110</v>
      </c>
      <c r="B32" s="4" t="s">
        <v>160</v>
      </c>
      <c r="C32" s="27" t="s">
        <v>1</v>
      </c>
      <c r="D32" s="47" t="s">
        <v>267</v>
      </c>
      <c r="E32" s="42">
        <v>0</v>
      </c>
      <c r="F32" s="27">
        <v>0</v>
      </c>
      <c r="G32" s="27">
        <v>1</v>
      </c>
      <c r="H32" s="27">
        <v>1</v>
      </c>
      <c r="I32" s="27">
        <v>0</v>
      </c>
      <c r="J32" s="27">
        <v>0</v>
      </c>
      <c r="K32" s="27">
        <v>3</v>
      </c>
      <c r="L32" s="27">
        <v>2</v>
      </c>
      <c r="M32" s="27">
        <v>14</v>
      </c>
      <c r="N32" s="27">
        <v>14</v>
      </c>
      <c r="O32" s="27">
        <v>9</v>
      </c>
      <c r="P32" s="27">
        <v>9</v>
      </c>
      <c r="Q32" s="37"/>
      <c r="R32" s="27"/>
      <c r="S32" s="37">
        <v>2</v>
      </c>
    </row>
    <row r="33" spans="1:19" ht="51" x14ac:dyDescent="0.2">
      <c r="A33" s="10" t="s">
        <v>112</v>
      </c>
      <c r="B33" s="4" t="s">
        <v>2</v>
      </c>
      <c r="C33" s="27" t="s">
        <v>1</v>
      </c>
      <c r="D33" s="47" t="s">
        <v>268</v>
      </c>
      <c r="E33" s="42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3</v>
      </c>
      <c r="L33" s="27">
        <v>3</v>
      </c>
      <c r="M33" s="27">
        <v>2</v>
      </c>
      <c r="N33" s="27">
        <v>2</v>
      </c>
      <c r="O33" s="27">
        <v>1</v>
      </c>
      <c r="P33" s="27">
        <v>1</v>
      </c>
      <c r="Q33" s="37"/>
      <c r="R33" s="27"/>
      <c r="S33" s="37">
        <v>1</v>
      </c>
    </row>
    <row r="34" spans="1:19" ht="51" x14ac:dyDescent="0.2">
      <c r="A34" s="10" t="s">
        <v>114</v>
      </c>
      <c r="B34" s="4" t="s">
        <v>50</v>
      </c>
      <c r="C34" s="27" t="s">
        <v>1</v>
      </c>
      <c r="D34" s="47" t="s">
        <v>269</v>
      </c>
      <c r="E34" s="42">
        <v>0</v>
      </c>
      <c r="F34" s="27">
        <v>0</v>
      </c>
      <c r="G34" s="27">
        <v>8</v>
      </c>
      <c r="H34" s="27">
        <v>8</v>
      </c>
      <c r="I34" s="27">
        <v>13</v>
      </c>
      <c r="J34" s="27">
        <v>13</v>
      </c>
      <c r="K34" s="27">
        <v>15</v>
      </c>
      <c r="L34" s="27">
        <v>14</v>
      </c>
      <c r="M34" s="27">
        <v>14</v>
      </c>
      <c r="N34" s="27">
        <v>13</v>
      </c>
      <c r="O34" s="27">
        <v>11</v>
      </c>
      <c r="P34" s="27">
        <v>11</v>
      </c>
      <c r="Q34" s="37"/>
      <c r="R34" s="27"/>
      <c r="S34" s="37">
        <v>2</v>
      </c>
    </row>
    <row r="35" spans="1:19" ht="63.75" x14ac:dyDescent="0.2">
      <c r="A35" s="10" t="s">
        <v>116</v>
      </c>
      <c r="B35" s="4" t="s">
        <v>161</v>
      </c>
      <c r="C35" s="27" t="s">
        <v>1</v>
      </c>
      <c r="D35" s="47" t="s">
        <v>270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3</v>
      </c>
      <c r="P35" s="27">
        <v>3</v>
      </c>
      <c r="Q35" s="37"/>
      <c r="R35" s="27"/>
      <c r="S35" s="37">
        <v>1</v>
      </c>
    </row>
    <row r="36" spans="1:19" ht="51" x14ac:dyDescent="0.2">
      <c r="A36" s="10" t="s">
        <v>118</v>
      </c>
      <c r="B36" s="11" t="s">
        <v>52</v>
      </c>
      <c r="C36" s="27" t="s">
        <v>1</v>
      </c>
      <c r="D36" s="47" t="s">
        <v>271</v>
      </c>
      <c r="E36" s="27">
        <v>0</v>
      </c>
      <c r="F36" s="27">
        <v>0</v>
      </c>
      <c r="G36" s="27">
        <v>9</v>
      </c>
      <c r="H36" s="27">
        <v>9</v>
      </c>
      <c r="I36" s="27">
        <v>11</v>
      </c>
      <c r="J36" s="27">
        <v>11</v>
      </c>
      <c r="K36" s="27">
        <v>15</v>
      </c>
      <c r="L36" s="27">
        <v>15</v>
      </c>
      <c r="M36" s="27">
        <v>43</v>
      </c>
      <c r="N36" s="27">
        <v>43</v>
      </c>
      <c r="O36" s="27">
        <v>50</v>
      </c>
      <c r="P36" s="27">
        <v>50</v>
      </c>
      <c r="Q36" s="37"/>
      <c r="R36" s="27"/>
      <c r="S36" s="37">
        <v>5</v>
      </c>
    </row>
    <row r="37" spans="1:19" ht="51" x14ac:dyDescent="0.2">
      <c r="A37" s="10" t="s">
        <v>120</v>
      </c>
      <c r="B37" s="4" t="s">
        <v>7</v>
      </c>
      <c r="C37" s="27" t="s">
        <v>1</v>
      </c>
      <c r="D37" s="47" t="s">
        <v>272</v>
      </c>
      <c r="E37" s="27">
        <v>0</v>
      </c>
      <c r="F37" s="27">
        <v>0</v>
      </c>
      <c r="G37" s="27">
        <v>2</v>
      </c>
      <c r="H37" s="27">
        <v>1</v>
      </c>
      <c r="I37" s="27">
        <v>6</v>
      </c>
      <c r="J37" s="27">
        <v>6</v>
      </c>
      <c r="K37" s="27">
        <v>7</v>
      </c>
      <c r="L37" s="27">
        <v>4</v>
      </c>
      <c r="M37" s="27">
        <v>27</v>
      </c>
      <c r="N37" s="27">
        <v>27</v>
      </c>
      <c r="O37" s="27">
        <v>32</v>
      </c>
      <c r="P37" s="27">
        <v>29</v>
      </c>
      <c r="Q37" s="37"/>
      <c r="R37" s="27"/>
      <c r="S37" s="37">
        <v>5</v>
      </c>
    </row>
    <row r="38" spans="1:19" ht="51" x14ac:dyDescent="0.2">
      <c r="A38" s="10" t="s">
        <v>122</v>
      </c>
      <c r="B38" s="8" t="s">
        <v>9</v>
      </c>
      <c r="C38" s="27" t="s">
        <v>1</v>
      </c>
      <c r="D38" s="47" t="s">
        <v>273</v>
      </c>
      <c r="E38" s="27">
        <v>0</v>
      </c>
      <c r="F38" s="27">
        <v>0</v>
      </c>
      <c r="G38" s="27">
        <v>0</v>
      </c>
      <c r="H38" s="27">
        <v>0</v>
      </c>
      <c r="I38" s="27">
        <v>1</v>
      </c>
      <c r="J38" s="27">
        <v>1</v>
      </c>
      <c r="K38" s="27">
        <v>1</v>
      </c>
      <c r="L38" s="27">
        <v>1</v>
      </c>
      <c r="M38" s="27">
        <v>1</v>
      </c>
      <c r="N38" s="27">
        <v>1</v>
      </c>
      <c r="O38" s="27">
        <v>6</v>
      </c>
      <c r="P38" s="27">
        <v>6</v>
      </c>
      <c r="Q38" s="37"/>
      <c r="R38" s="27"/>
      <c r="S38" s="37">
        <v>2</v>
      </c>
    </row>
    <row r="39" spans="1:19" ht="51" x14ac:dyDescent="0.2">
      <c r="A39" s="10" t="s">
        <v>124</v>
      </c>
      <c r="B39" s="4" t="s">
        <v>8</v>
      </c>
      <c r="C39" s="27" t="s">
        <v>1</v>
      </c>
      <c r="D39" s="47" t="s">
        <v>274</v>
      </c>
      <c r="E39" s="27">
        <v>0</v>
      </c>
      <c r="F39" s="27">
        <v>0</v>
      </c>
      <c r="G39" s="27">
        <v>0</v>
      </c>
      <c r="H39" s="27">
        <v>0</v>
      </c>
      <c r="I39" s="27">
        <v>0</v>
      </c>
      <c r="J39" s="27">
        <v>0</v>
      </c>
      <c r="K39" s="27">
        <v>3</v>
      </c>
      <c r="L39" s="27">
        <v>3</v>
      </c>
      <c r="M39" s="27">
        <v>6</v>
      </c>
      <c r="N39" s="27">
        <v>6</v>
      </c>
      <c r="O39" s="27">
        <v>7</v>
      </c>
      <c r="P39" s="27">
        <v>7</v>
      </c>
      <c r="Q39" s="37"/>
      <c r="R39" s="27"/>
      <c r="S39" s="37">
        <v>1</v>
      </c>
    </row>
    <row r="40" spans="1:19" hidden="1" x14ac:dyDescent="0.2">
      <c r="A40" s="27"/>
      <c r="B40" s="27"/>
      <c r="C40" s="27"/>
      <c r="D40" s="45"/>
      <c r="E40" s="43">
        <f>SUM(E3:E39)</f>
        <v>189</v>
      </c>
      <c r="F40" s="43">
        <f t="shared" ref="F40:P40" si="0">SUM(F3:F39)</f>
        <v>176</v>
      </c>
      <c r="G40" s="43">
        <f t="shared" si="0"/>
        <v>262</v>
      </c>
      <c r="H40" s="43">
        <f t="shared" si="0"/>
        <v>242</v>
      </c>
      <c r="I40" s="43">
        <f t="shared" si="0"/>
        <v>444</v>
      </c>
      <c r="J40" s="43">
        <f t="shared" si="0"/>
        <v>403</v>
      </c>
      <c r="K40" s="43">
        <f t="shared" si="0"/>
        <v>667</v>
      </c>
      <c r="L40" s="43">
        <f t="shared" si="0"/>
        <v>619</v>
      </c>
      <c r="M40" s="43">
        <f t="shared" si="0"/>
        <v>895</v>
      </c>
      <c r="N40" s="43">
        <f t="shared" si="0"/>
        <v>877</v>
      </c>
      <c r="O40" s="43">
        <f t="shared" si="0"/>
        <v>980</v>
      </c>
      <c r="P40" s="43">
        <f t="shared" si="0"/>
        <v>950</v>
      </c>
      <c r="Q40" s="37"/>
      <c r="R40" s="43"/>
      <c r="S40" s="37"/>
    </row>
    <row r="44" spans="1:19" ht="15.75" x14ac:dyDescent="0.25">
      <c r="B44" s="9" t="s">
        <v>355</v>
      </c>
      <c r="C44">
        <f>E40+G40+I40+K40+M40+O40</f>
        <v>3437</v>
      </c>
      <c r="P44">
        <f>SUM(P3:P39)</f>
        <v>950</v>
      </c>
    </row>
    <row r="45" spans="1:19" ht="15.75" x14ac:dyDescent="0.25">
      <c r="B45" s="9" t="s">
        <v>356</v>
      </c>
      <c r="C45">
        <f>F40+H40+J40+L40+N40+P40</f>
        <v>3267</v>
      </c>
    </row>
  </sheetData>
  <autoFilter ref="A2:S40" xr:uid="{647D9BF9-AD9B-43AB-8365-706F27797024}">
    <filterColumn colId="1">
      <customFilters>
        <customFilter operator="notEqual" val=" "/>
      </customFilters>
    </filterColumn>
  </autoFilter>
  <mergeCells count="12">
    <mergeCell ref="S1:S2"/>
    <mergeCell ref="A1:A2"/>
    <mergeCell ref="B1:B2"/>
    <mergeCell ref="C1:C2"/>
    <mergeCell ref="D1:D2"/>
    <mergeCell ref="E1:F1"/>
    <mergeCell ref="G1:H1"/>
    <mergeCell ref="I1:J1"/>
    <mergeCell ref="K1:L1"/>
    <mergeCell ref="M1:N1"/>
    <mergeCell ref="O1:P1"/>
    <mergeCell ref="Q1:R1"/>
  </mergeCells>
  <conditionalFormatting sqref="B1">
    <cfRule type="duplicateValues" dxfId="4" priority="1"/>
  </conditionalFormatting>
  <hyperlinks>
    <hyperlink ref="D25" r:id="rId1" xr:uid="{C57115C2-6884-423D-A554-2A74F1E434BA}"/>
    <hyperlink ref="D3" r:id="rId2" xr:uid="{3EFB1D82-AC91-4655-8141-C1BFE9C46ED6}"/>
    <hyperlink ref="D4" r:id="rId3" xr:uid="{52883163-1288-404D-9873-FDBE589C039E}"/>
    <hyperlink ref="D5" r:id="rId4" xr:uid="{B58FF927-1DCB-459F-A0D1-FC29FAA33090}"/>
    <hyperlink ref="D6" r:id="rId5" xr:uid="{621B4575-0007-436E-9602-B457B658CA00}"/>
    <hyperlink ref="D7" r:id="rId6" xr:uid="{26025CAA-6159-47F2-8474-88C8FA91D596}"/>
    <hyperlink ref="D9" r:id="rId7" xr:uid="{EA9B0BB0-8A51-4F66-8A84-CAD6A28467D7}"/>
    <hyperlink ref="D10" r:id="rId8" xr:uid="{B63DEC8A-2AE2-4223-9D19-D627530EDA3A}"/>
    <hyperlink ref="D11" r:id="rId9" xr:uid="{13AD3E27-3EDD-48FA-9A6C-03E6E4BB3405}"/>
    <hyperlink ref="D12" r:id="rId10" xr:uid="{75A67327-0629-4D7F-B265-35E910C1DC3E}"/>
    <hyperlink ref="D13" r:id="rId11" xr:uid="{2656AE81-53F9-4844-B66C-55CCA7ED31DF}"/>
    <hyperlink ref="D15" r:id="rId12" xr:uid="{0BAAFECC-1F05-4F53-9DA4-894192650F1F}"/>
    <hyperlink ref="D16" r:id="rId13" xr:uid="{DEB678EA-DA30-4CB3-A786-46086252FE5B}"/>
    <hyperlink ref="D18" r:id="rId14" xr:uid="{9AF0EC6F-6F48-45E1-B1FC-5FAAF474D63B}"/>
    <hyperlink ref="D19" r:id="rId15" xr:uid="{95A4042F-7F0C-4D89-BD8C-9F43A7F0921A}"/>
    <hyperlink ref="D21" r:id="rId16" xr:uid="{0B938953-D061-4883-A6C6-2E4FB201051C}"/>
    <hyperlink ref="D22" r:id="rId17" xr:uid="{F2384CD0-9A63-47A1-84FB-B287BBE6D185}"/>
    <hyperlink ref="D23" r:id="rId18" xr:uid="{C68AE6FB-31F6-4EB0-959D-729ED88BC8C1}"/>
    <hyperlink ref="D26" r:id="rId19" xr:uid="{C43233F3-4D60-4772-8E23-17295BA20ADE}"/>
    <hyperlink ref="D27" r:id="rId20" xr:uid="{338A0DFA-5965-4C68-B141-6B9DE39B2333}"/>
    <hyperlink ref="D28" r:id="rId21" xr:uid="{D5A0A4B7-84FE-4567-AADB-12F05A6EEF94}"/>
    <hyperlink ref="D29" r:id="rId22" xr:uid="{40623F4A-11F2-4209-8510-167D2C2ABB8E}"/>
    <hyperlink ref="D30" r:id="rId23" xr:uid="{58A55570-1045-4995-B10B-F8A276916AEA}"/>
    <hyperlink ref="D31" r:id="rId24" xr:uid="{F33658D2-3CDF-4985-A526-8E8E93166CD8}"/>
    <hyperlink ref="D32" r:id="rId25" xr:uid="{9E333248-6803-4823-B21D-B3D6550A4EE9}"/>
    <hyperlink ref="D33" r:id="rId26" xr:uid="{24705676-36ED-46E6-B471-1E63C80678C6}"/>
    <hyperlink ref="D34" r:id="rId27" xr:uid="{4060AD9D-9699-4CAA-B6D8-2B15032A73E0}"/>
    <hyperlink ref="D35" r:id="rId28" xr:uid="{6030BA42-4F3D-437B-BAD2-82B922DC0D89}"/>
    <hyperlink ref="D36" r:id="rId29" xr:uid="{06E2EAC8-F236-4B9F-8721-5A51559AA01C}"/>
    <hyperlink ref="D37" r:id="rId30" xr:uid="{6F032276-BF99-45B8-889C-2FC7E5550AAD}"/>
    <hyperlink ref="D38" r:id="rId31" xr:uid="{6B28AD83-80E8-4CAF-979C-69F1284B2259}"/>
    <hyperlink ref="D39" r:id="rId32" xr:uid="{BA13077A-E792-4147-904A-5B49F238264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9E95E-8625-451D-9D65-4FFE0AECA081}">
  <sheetPr filterMode="1"/>
  <dimension ref="A1:S49"/>
  <sheetViews>
    <sheetView topLeftCell="B1" workbookViewId="0">
      <selection activeCell="N2" sqref="E1:N1048576"/>
    </sheetView>
  </sheetViews>
  <sheetFormatPr defaultRowHeight="12.75" x14ac:dyDescent="0.2"/>
  <cols>
    <col min="2" max="2" width="37" customWidth="1"/>
    <col min="3" max="3" width="9.42578125" customWidth="1"/>
    <col min="4" max="4" width="18.7109375" style="57" customWidth="1"/>
    <col min="5" max="5" width="6.5703125" hidden="1" customWidth="1"/>
    <col min="6" max="7" width="7.7109375" hidden="1" customWidth="1"/>
    <col min="8" max="9" width="10.7109375" hidden="1" customWidth="1"/>
    <col min="10" max="14" width="8.42578125" hidden="1" customWidth="1"/>
    <col min="15" max="16" width="8.42578125" customWidth="1"/>
    <col min="17" max="17" width="8" style="15" customWidth="1"/>
    <col min="19" max="19" width="9.140625" style="25"/>
  </cols>
  <sheetData>
    <row r="1" spans="1:19" ht="15.75" x14ac:dyDescent="0.2">
      <c r="A1" s="64" t="s">
        <v>68</v>
      </c>
      <c r="B1" s="64" t="s">
        <v>69</v>
      </c>
      <c r="C1" s="63" t="s">
        <v>13</v>
      </c>
      <c r="D1" s="65" t="s">
        <v>67</v>
      </c>
      <c r="E1" s="63">
        <v>2020</v>
      </c>
      <c r="F1" s="63"/>
      <c r="G1" s="63">
        <v>2021</v>
      </c>
      <c r="H1" s="63"/>
      <c r="I1" s="63">
        <v>2022</v>
      </c>
      <c r="J1" s="63"/>
      <c r="K1" s="63">
        <v>2023</v>
      </c>
      <c r="L1" s="63"/>
      <c r="M1" s="63">
        <v>2024</v>
      </c>
      <c r="N1" s="63"/>
      <c r="O1" s="63">
        <v>2025</v>
      </c>
      <c r="P1" s="63"/>
      <c r="Q1" s="63">
        <v>2026</v>
      </c>
      <c r="R1" s="63"/>
      <c r="S1" s="63" t="s">
        <v>4</v>
      </c>
    </row>
    <row r="2" spans="1:19" ht="47.25" x14ac:dyDescent="0.2">
      <c r="A2" s="64"/>
      <c r="B2" s="64"/>
      <c r="C2" s="63"/>
      <c r="D2" s="65"/>
      <c r="E2" s="36" t="s">
        <v>379</v>
      </c>
      <c r="F2" s="35" t="s">
        <v>380</v>
      </c>
      <c r="G2" s="36" t="s">
        <v>379</v>
      </c>
      <c r="H2" s="35" t="s">
        <v>380</v>
      </c>
      <c r="I2" s="36" t="s">
        <v>379</v>
      </c>
      <c r="J2" s="35" t="s">
        <v>380</v>
      </c>
      <c r="K2" s="36" t="s">
        <v>379</v>
      </c>
      <c r="L2" s="35" t="s">
        <v>380</v>
      </c>
      <c r="M2" s="36" t="s">
        <v>379</v>
      </c>
      <c r="N2" s="35" t="s">
        <v>380</v>
      </c>
      <c r="O2" s="36" t="s">
        <v>379</v>
      </c>
      <c r="P2" s="35" t="s">
        <v>380</v>
      </c>
      <c r="Q2" s="36" t="s">
        <v>379</v>
      </c>
      <c r="R2" s="35" t="s">
        <v>380</v>
      </c>
      <c r="S2" s="63"/>
    </row>
    <row r="3" spans="1:19" ht="51" x14ac:dyDescent="0.2">
      <c r="A3" s="10" t="s">
        <v>70</v>
      </c>
      <c r="B3" s="3" t="s">
        <v>53</v>
      </c>
      <c r="C3" s="27" t="s">
        <v>276</v>
      </c>
      <c r="D3" s="47" t="s">
        <v>275</v>
      </c>
      <c r="E3" s="27">
        <v>19</v>
      </c>
      <c r="F3" s="27">
        <v>19</v>
      </c>
      <c r="G3" s="27">
        <v>30</v>
      </c>
      <c r="H3" s="27">
        <v>28</v>
      </c>
      <c r="I3" s="27">
        <v>31</v>
      </c>
      <c r="J3" s="27">
        <v>31</v>
      </c>
      <c r="K3" s="27">
        <v>59</v>
      </c>
      <c r="L3" s="27">
        <v>59</v>
      </c>
      <c r="M3" s="27">
        <v>84</v>
      </c>
      <c r="N3" s="27">
        <v>83</v>
      </c>
      <c r="O3" s="27">
        <v>107</v>
      </c>
      <c r="P3" s="27"/>
      <c r="Q3" s="43"/>
      <c r="R3" s="27"/>
      <c r="S3" s="37">
        <v>10</v>
      </c>
    </row>
    <row r="4" spans="1:19" s="19" customFormat="1" ht="51" x14ac:dyDescent="0.2">
      <c r="A4" s="17" t="s">
        <v>71</v>
      </c>
      <c r="B4" s="18" t="s">
        <v>162</v>
      </c>
      <c r="C4" s="38" t="s">
        <v>276</v>
      </c>
      <c r="D4" s="59" t="s">
        <v>277</v>
      </c>
      <c r="E4" s="38">
        <v>98</v>
      </c>
      <c r="F4" s="38">
        <v>97</v>
      </c>
      <c r="G4" s="38">
        <v>79</v>
      </c>
      <c r="H4" s="38">
        <v>78</v>
      </c>
      <c r="I4" s="38">
        <v>140</v>
      </c>
      <c r="J4" s="38">
        <v>129</v>
      </c>
      <c r="K4" s="38">
        <v>142</v>
      </c>
      <c r="L4" s="38">
        <v>132</v>
      </c>
      <c r="M4" s="38">
        <v>228</v>
      </c>
      <c r="N4" s="38">
        <v>202</v>
      </c>
      <c r="O4" s="38">
        <v>243</v>
      </c>
      <c r="P4" s="38">
        <v>224</v>
      </c>
      <c r="Q4" s="38"/>
      <c r="R4" s="38"/>
      <c r="S4" s="39">
        <v>19</v>
      </c>
    </row>
    <row r="5" spans="1:19" s="19" customFormat="1" ht="63.75" hidden="1" x14ac:dyDescent="0.2">
      <c r="A5" s="17"/>
      <c r="B5" s="18"/>
      <c r="C5" s="38"/>
      <c r="D5" s="55" t="s">
        <v>347</v>
      </c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9"/>
    </row>
    <row r="6" spans="1:19" ht="51" x14ac:dyDescent="0.2">
      <c r="A6" s="10" t="s">
        <v>72</v>
      </c>
      <c r="B6" s="3" t="s">
        <v>163</v>
      </c>
      <c r="C6" s="27" t="s">
        <v>276</v>
      </c>
      <c r="D6" s="47" t="s">
        <v>278</v>
      </c>
      <c r="E6" s="27">
        <v>2</v>
      </c>
      <c r="F6" s="27">
        <v>2</v>
      </c>
      <c r="G6" s="27">
        <v>6</v>
      </c>
      <c r="H6" s="27">
        <v>4</v>
      </c>
      <c r="I6" s="27">
        <v>23</v>
      </c>
      <c r="J6" s="27">
        <v>18</v>
      </c>
      <c r="K6" s="27">
        <v>24</v>
      </c>
      <c r="L6" s="27">
        <v>24</v>
      </c>
      <c r="M6" s="27">
        <v>38</v>
      </c>
      <c r="N6" s="27">
        <v>38</v>
      </c>
      <c r="O6" s="27">
        <v>64</v>
      </c>
      <c r="P6" s="27">
        <v>64</v>
      </c>
      <c r="Q6" s="43"/>
      <c r="R6" s="27"/>
      <c r="S6" s="37">
        <v>6</v>
      </c>
    </row>
    <row r="7" spans="1:19" ht="51" x14ac:dyDescent="0.2">
      <c r="A7" s="10" t="s">
        <v>73</v>
      </c>
      <c r="B7" s="4" t="s">
        <v>164</v>
      </c>
      <c r="C7" s="27" t="s">
        <v>276</v>
      </c>
      <c r="D7" s="47" t="s">
        <v>279</v>
      </c>
      <c r="E7" s="27">
        <v>16</v>
      </c>
      <c r="F7" s="27">
        <v>16</v>
      </c>
      <c r="G7" s="27">
        <v>3</v>
      </c>
      <c r="H7" s="27">
        <v>3</v>
      </c>
      <c r="I7" s="27">
        <v>18</v>
      </c>
      <c r="J7" s="27">
        <v>18</v>
      </c>
      <c r="K7" s="27">
        <v>37</v>
      </c>
      <c r="L7" s="27">
        <v>36</v>
      </c>
      <c r="M7" s="27">
        <v>84</v>
      </c>
      <c r="N7" s="27">
        <v>82</v>
      </c>
      <c r="O7" s="27">
        <v>105</v>
      </c>
      <c r="P7" s="27">
        <v>102</v>
      </c>
      <c r="Q7" s="43"/>
      <c r="R7" s="27"/>
      <c r="S7" s="37">
        <v>11</v>
      </c>
    </row>
    <row r="8" spans="1:19" ht="51" x14ac:dyDescent="0.2">
      <c r="A8" s="10" t="s">
        <v>74</v>
      </c>
      <c r="B8" s="3" t="s">
        <v>165</v>
      </c>
      <c r="C8" s="27" t="s">
        <v>276</v>
      </c>
      <c r="D8" s="47" t="s">
        <v>280</v>
      </c>
      <c r="E8" s="27">
        <v>12</v>
      </c>
      <c r="F8" s="27">
        <v>12</v>
      </c>
      <c r="G8" s="27">
        <v>10</v>
      </c>
      <c r="H8" s="27">
        <v>10</v>
      </c>
      <c r="I8" s="27">
        <v>7</v>
      </c>
      <c r="J8" s="27">
        <v>7</v>
      </c>
      <c r="K8" s="27">
        <v>15</v>
      </c>
      <c r="L8" s="27">
        <v>15</v>
      </c>
      <c r="M8" s="27">
        <v>15</v>
      </c>
      <c r="N8" s="27">
        <v>15</v>
      </c>
      <c r="O8" s="27">
        <v>16</v>
      </c>
      <c r="P8" s="27">
        <v>14</v>
      </c>
      <c r="Q8" s="43"/>
      <c r="R8" s="27"/>
      <c r="S8" s="37">
        <v>4</v>
      </c>
    </row>
    <row r="9" spans="1:19" ht="51" x14ac:dyDescent="0.2">
      <c r="A9" s="10" t="s">
        <v>75</v>
      </c>
      <c r="B9" s="3" t="s">
        <v>166</v>
      </c>
      <c r="C9" s="27" t="s">
        <v>276</v>
      </c>
      <c r="D9" s="47" t="s">
        <v>281</v>
      </c>
      <c r="E9" s="27">
        <v>10</v>
      </c>
      <c r="F9" s="27">
        <v>10</v>
      </c>
      <c r="G9" s="27">
        <v>31</v>
      </c>
      <c r="H9" s="27">
        <v>29</v>
      </c>
      <c r="I9" s="27">
        <v>66</v>
      </c>
      <c r="J9" s="27">
        <v>66</v>
      </c>
      <c r="K9" s="27">
        <v>90</v>
      </c>
      <c r="L9" s="27">
        <v>90</v>
      </c>
      <c r="M9" s="27">
        <v>113</v>
      </c>
      <c r="N9" s="27">
        <v>110</v>
      </c>
      <c r="O9" s="27">
        <v>103</v>
      </c>
      <c r="P9" s="27">
        <v>103</v>
      </c>
      <c r="Q9" s="43"/>
      <c r="R9" s="27"/>
      <c r="S9" s="37">
        <v>11</v>
      </c>
    </row>
    <row r="10" spans="1:19" ht="51" x14ac:dyDescent="0.2">
      <c r="A10" s="10" t="s">
        <v>76</v>
      </c>
      <c r="B10" s="4" t="s">
        <v>167</v>
      </c>
      <c r="C10" s="27" t="s">
        <v>276</v>
      </c>
      <c r="D10" s="47" t="s">
        <v>282</v>
      </c>
      <c r="E10" s="27">
        <v>0</v>
      </c>
      <c r="F10" s="27">
        <v>0</v>
      </c>
      <c r="G10" s="27">
        <v>2</v>
      </c>
      <c r="H10" s="27">
        <v>2</v>
      </c>
      <c r="I10" s="27">
        <v>11</v>
      </c>
      <c r="J10" s="27">
        <v>7</v>
      </c>
      <c r="K10" s="27">
        <v>16</v>
      </c>
      <c r="L10" s="27">
        <v>16</v>
      </c>
      <c r="M10" s="27">
        <v>37</v>
      </c>
      <c r="N10" s="27">
        <v>17</v>
      </c>
      <c r="O10" s="27">
        <v>27</v>
      </c>
      <c r="P10" s="27">
        <v>22</v>
      </c>
      <c r="Q10" s="43"/>
      <c r="R10" s="27"/>
      <c r="S10" s="37">
        <v>5</v>
      </c>
    </row>
    <row r="11" spans="1:19" ht="51" x14ac:dyDescent="0.2">
      <c r="A11" s="10" t="s">
        <v>77</v>
      </c>
      <c r="B11" s="3" t="s">
        <v>168</v>
      </c>
      <c r="C11" s="27" t="s">
        <v>276</v>
      </c>
      <c r="D11" s="47" t="s">
        <v>283</v>
      </c>
      <c r="E11" s="27">
        <v>7</v>
      </c>
      <c r="F11" s="27">
        <v>7</v>
      </c>
      <c r="G11" s="27">
        <v>0</v>
      </c>
      <c r="H11" s="27">
        <v>0</v>
      </c>
      <c r="I11" s="27">
        <v>7</v>
      </c>
      <c r="J11" s="27">
        <v>7</v>
      </c>
      <c r="K11" s="27">
        <v>9</v>
      </c>
      <c r="L11" s="27">
        <v>9</v>
      </c>
      <c r="M11" s="27">
        <v>8</v>
      </c>
      <c r="N11" s="27">
        <v>8</v>
      </c>
      <c r="O11" s="27">
        <v>18</v>
      </c>
      <c r="P11" s="27">
        <v>18</v>
      </c>
      <c r="Q11" s="43"/>
      <c r="R11" s="27"/>
      <c r="S11" s="37">
        <v>5</v>
      </c>
    </row>
    <row r="12" spans="1:19" ht="51" x14ac:dyDescent="0.2">
      <c r="A12" s="10" t="s">
        <v>78</v>
      </c>
      <c r="B12" s="3" t="s">
        <v>169</v>
      </c>
      <c r="C12" s="27" t="s">
        <v>276</v>
      </c>
      <c r="D12" s="47" t="s">
        <v>284</v>
      </c>
      <c r="E12" s="27">
        <v>0</v>
      </c>
      <c r="F12" s="27">
        <v>0</v>
      </c>
      <c r="G12" s="27">
        <v>4</v>
      </c>
      <c r="H12" s="27">
        <v>3</v>
      </c>
      <c r="I12" s="27">
        <v>14</v>
      </c>
      <c r="J12" s="27">
        <v>12</v>
      </c>
      <c r="K12" s="27">
        <v>35</v>
      </c>
      <c r="L12" s="27">
        <v>29</v>
      </c>
      <c r="M12" s="27">
        <v>52</v>
      </c>
      <c r="N12" s="27">
        <v>48</v>
      </c>
      <c r="O12" s="27">
        <v>80</v>
      </c>
      <c r="P12" s="27">
        <v>80</v>
      </c>
      <c r="Q12" s="43"/>
      <c r="R12" s="27"/>
      <c r="S12" s="37">
        <v>5</v>
      </c>
    </row>
    <row r="13" spans="1:19" ht="51" x14ac:dyDescent="0.2">
      <c r="A13" s="10" t="s">
        <v>80</v>
      </c>
      <c r="B13" s="4" t="s">
        <v>170</v>
      </c>
      <c r="C13" s="27" t="s">
        <v>276</v>
      </c>
      <c r="D13" s="47" t="s">
        <v>285</v>
      </c>
      <c r="E13" s="27">
        <v>8</v>
      </c>
      <c r="F13" s="27">
        <v>8</v>
      </c>
      <c r="G13" s="27">
        <v>2</v>
      </c>
      <c r="H13" s="27">
        <v>2</v>
      </c>
      <c r="I13" s="27">
        <v>2</v>
      </c>
      <c r="J13" s="27">
        <v>2</v>
      </c>
      <c r="K13" s="27">
        <v>8</v>
      </c>
      <c r="L13" s="27">
        <v>8</v>
      </c>
      <c r="M13" s="27">
        <v>9</v>
      </c>
      <c r="N13" s="27">
        <v>9</v>
      </c>
      <c r="O13" s="27">
        <v>11</v>
      </c>
      <c r="P13" s="27">
        <v>11</v>
      </c>
      <c r="Q13" s="43"/>
      <c r="R13" s="27"/>
      <c r="S13" s="37">
        <v>3</v>
      </c>
    </row>
    <row r="14" spans="1:19" ht="51" x14ac:dyDescent="0.2">
      <c r="A14" s="10" t="s">
        <v>81</v>
      </c>
      <c r="B14" s="3" t="s">
        <v>54</v>
      </c>
      <c r="C14" s="27" t="s">
        <v>276</v>
      </c>
      <c r="D14" s="47" t="s">
        <v>286</v>
      </c>
      <c r="E14" s="27">
        <v>13</v>
      </c>
      <c r="F14" s="27">
        <v>11</v>
      </c>
      <c r="G14" s="27">
        <v>31</v>
      </c>
      <c r="H14" s="27">
        <v>31</v>
      </c>
      <c r="I14" s="27">
        <v>44</v>
      </c>
      <c r="J14" s="27">
        <v>40</v>
      </c>
      <c r="K14" s="27">
        <v>75</v>
      </c>
      <c r="L14" s="27">
        <v>71</v>
      </c>
      <c r="M14" s="27">
        <v>95</v>
      </c>
      <c r="N14" s="27">
        <v>92</v>
      </c>
      <c r="O14" s="27">
        <v>75</v>
      </c>
      <c r="P14" s="27">
        <v>75</v>
      </c>
      <c r="Q14" s="43"/>
      <c r="R14" s="27"/>
      <c r="S14" s="37">
        <v>9</v>
      </c>
    </row>
    <row r="15" spans="1:19" ht="51" x14ac:dyDescent="0.2">
      <c r="A15" s="10" t="s">
        <v>82</v>
      </c>
      <c r="B15" s="3" t="s">
        <v>171</v>
      </c>
      <c r="C15" s="27" t="s">
        <v>276</v>
      </c>
      <c r="D15" s="47" t="s">
        <v>287</v>
      </c>
      <c r="E15" s="27">
        <v>11</v>
      </c>
      <c r="F15" s="27">
        <v>11</v>
      </c>
      <c r="G15" s="27">
        <v>1</v>
      </c>
      <c r="H15" s="27">
        <v>1</v>
      </c>
      <c r="I15" s="27">
        <v>1</v>
      </c>
      <c r="J15" s="27">
        <v>1</v>
      </c>
      <c r="K15" s="27">
        <v>3</v>
      </c>
      <c r="L15" s="27">
        <v>3</v>
      </c>
      <c r="M15" s="27">
        <v>1</v>
      </c>
      <c r="N15" s="27">
        <v>1</v>
      </c>
      <c r="O15" s="27">
        <v>2</v>
      </c>
      <c r="P15" s="27">
        <v>2</v>
      </c>
      <c r="Q15" s="43"/>
      <c r="R15" s="27"/>
      <c r="S15" s="37">
        <v>2</v>
      </c>
    </row>
    <row r="16" spans="1:19" s="19" customFormat="1" ht="51" x14ac:dyDescent="0.2">
      <c r="A16" s="17" t="s">
        <v>83</v>
      </c>
      <c r="B16" s="20" t="s">
        <v>172</v>
      </c>
      <c r="C16" s="38" t="s">
        <v>276</v>
      </c>
      <c r="D16" s="59" t="s">
        <v>288</v>
      </c>
      <c r="E16" s="38">
        <v>0</v>
      </c>
      <c r="F16" s="38">
        <v>0</v>
      </c>
      <c r="G16" s="38">
        <v>4</v>
      </c>
      <c r="H16" s="38">
        <v>4</v>
      </c>
      <c r="I16" s="38">
        <v>5</v>
      </c>
      <c r="J16" s="38">
        <v>5</v>
      </c>
      <c r="K16" s="38">
        <v>2</v>
      </c>
      <c r="L16" s="38">
        <v>2</v>
      </c>
      <c r="M16" s="38">
        <v>13</v>
      </c>
      <c r="N16" s="38">
        <v>13</v>
      </c>
      <c r="O16" s="38">
        <v>7</v>
      </c>
      <c r="P16" s="38">
        <v>7</v>
      </c>
      <c r="Q16" s="38"/>
      <c r="R16" s="38"/>
      <c r="S16" s="39">
        <v>3</v>
      </c>
    </row>
    <row r="17" spans="1:19" s="19" customFormat="1" ht="51" hidden="1" x14ac:dyDescent="0.2">
      <c r="A17" s="17"/>
      <c r="B17" s="20"/>
      <c r="C17" s="38" t="s">
        <v>276</v>
      </c>
      <c r="D17" s="55" t="s">
        <v>348</v>
      </c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9"/>
    </row>
    <row r="18" spans="1:19" ht="51" x14ac:dyDescent="0.2">
      <c r="A18" s="10" t="s">
        <v>85</v>
      </c>
      <c r="B18" s="4" t="s">
        <v>173</v>
      </c>
      <c r="C18" s="27" t="s">
        <v>276</v>
      </c>
      <c r="D18" s="47" t="s">
        <v>289</v>
      </c>
      <c r="E18" s="27">
        <v>3</v>
      </c>
      <c r="F18" s="27">
        <v>3</v>
      </c>
      <c r="G18" s="27">
        <v>10</v>
      </c>
      <c r="H18" s="27">
        <v>10</v>
      </c>
      <c r="I18" s="27">
        <v>14</v>
      </c>
      <c r="J18" s="27">
        <v>13</v>
      </c>
      <c r="K18" s="27">
        <v>28</v>
      </c>
      <c r="L18" s="27">
        <v>28</v>
      </c>
      <c r="M18" s="27">
        <v>57</v>
      </c>
      <c r="N18" s="27">
        <v>57</v>
      </c>
      <c r="O18" s="27">
        <v>42</v>
      </c>
      <c r="P18" s="27">
        <v>42</v>
      </c>
      <c r="Q18" s="43"/>
      <c r="R18" s="27"/>
      <c r="S18" s="37">
        <v>4</v>
      </c>
    </row>
    <row r="19" spans="1:19" ht="51" x14ac:dyDescent="0.2">
      <c r="A19" s="10" t="s">
        <v>87</v>
      </c>
      <c r="B19" s="4" t="s">
        <v>174</v>
      </c>
      <c r="C19" s="27" t="s">
        <v>276</v>
      </c>
      <c r="D19" s="47" t="s">
        <v>290</v>
      </c>
      <c r="E19" s="27">
        <v>0</v>
      </c>
      <c r="F19" s="27">
        <v>0</v>
      </c>
      <c r="G19" s="27">
        <v>1</v>
      </c>
      <c r="H19" s="27">
        <v>1</v>
      </c>
      <c r="I19" s="27">
        <v>0</v>
      </c>
      <c r="J19" s="27">
        <v>0</v>
      </c>
      <c r="K19" s="27">
        <v>2</v>
      </c>
      <c r="L19" s="27">
        <v>1</v>
      </c>
      <c r="M19" s="27">
        <v>12</v>
      </c>
      <c r="N19" s="27">
        <v>12</v>
      </c>
      <c r="O19" s="27">
        <v>11</v>
      </c>
      <c r="P19" s="27">
        <v>11</v>
      </c>
      <c r="Q19" s="43"/>
      <c r="R19" s="27"/>
      <c r="S19" s="37">
        <v>3</v>
      </c>
    </row>
    <row r="20" spans="1:19" ht="51" x14ac:dyDescent="0.2">
      <c r="A20" s="10" t="s">
        <v>89</v>
      </c>
      <c r="B20" s="4" t="s">
        <v>374</v>
      </c>
      <c r="C20" s="27" t="s">
        <v>276</v>
      </c>
      <c r="D20" s="47" t="s">
        <v>291</v>
      </c>
      <c r="E20" s="27">
        <v>10</v>
      </c>
      <c r="F20" s="27">
        <v>10</v>
      </c>
      <c r="G20" s="27">
        <v>10</v>
      </c>
      <c r="H20" s="27">
        <v>10</v>
      </c>
      <c r="I20" s="27">
        <v>10</v>
      </c>
      <c r="J20" s="27">
        <v>9</v>
      </c>
      <c r="K20" s="27">
        <v>14</v>
      </c>
      <c r="L20" s="27">
        <v>14</v>
      </c>
      <c r="M20" s="27">
        <v>19</v>
      </c>
      <c r="N20" s="27">
        <v>18</v>
      </c>
      <c r="O20" s="27">
        <v>14</v>
      </c>
      <c r="P20" s="27">
        <v>11</v>
      </c>
      <c r="Q20" s="43"/>
      <c r="R20" s="27"/>
      <c r="S20" s="37">
        <v>4</v>
      </c>
    </row>
    <row r="21" spans="1:19" ht="51" x14ac:dyDescent="0.2">
      <c r="A21" s="10" t="s">
        <v>91</v>
      </c>
      <c r="B21" s="4" t="s">
        <v>175</v>
      </c>
      <c r="C21" s="27" t="s">
        <v>276</v>
      </c>
      <c r="D21" s="47" t="s">
        <v>292</v>
      </c>
      <c r="E21" s="27">
        <v>9</v>
      </c>
      <c r="F21" s="27">
        <v>9</v>
      </c>
      <c r="G21" s="27">
        <v>5</v>
      </c>
      <c r="H21" s="27">
        <v>5</v>
      </c>
      <c r="I21" s="27">
        <v>5</v>
      </c>
      <c r="J21" s="27">
        <v>4</v>
      </c>
      <c r="K21" s="27">
        <v>16</v>
      </c>
      <c r="L21" s="27">
        <v>16</v>
      </c>
      <c r="M21" s="27">
        <v>34</v>
      </c>
      <c r="N21" s="27">
        <v>34</v>
      </c>
      <c r="O21" s="27">
        <v>32</v>
      </c>
      <c r="P21" s="27">
        <v>32</v>
      </c>
      <c r="Q21" s="43"/>
      <c r="R21" s="27"/>
      <c r="S21" s="37">
        <v>5</v>
      </c>
    </row>
    <row r="22" spans="1:19" ht="51" x14ac:dyDescent="0.2">
      <c r="A22" s="10" t="s">
        <v>93</v>
      </c>
      <c r="B22" s="4" t="s">
        <v>373</v>
      </c>
      <c r="C22" s="27" t="s">
        <v>276</v>
      </c>
      <c r="D22" s="47" t="s">
        <v>293</v>
      </c>
      <c r="E22" s="27">
        <v>3</v>
      </c>
      <c r="F22" s="27">
        <v>3</v>
      </c>
      <c r="G22" s="27">
        <v>29</v>
      </c>
      <c r="H22" s="27">
        <v>19</v>
      </c>
      <c r="I22" s="27">
        <v>72</v>
      </c>
      <c r="J22" s="27">
        <v>39</v>
      </c>
      <c r="K22" s="27">
        <v>173</v>
      </c>
      <c r="L22" s="27">
        <v>119</v>
      </c>
      <c r="M22" s="27">
        <v>181</v>
      </c>
      <c r="N22" s="27">
        <v>145</v>
      </c>
      <c r="O22" s="27">
        <v>167</v>
      </c>
      <c r="P22" s="27">
        <v>163</v>
      </c>
      <c r="Q22" s="43"/>
      <c r="R22" s="27"/>
      <c r="S22" s="37">
        <v>14</v>
      </c>
    </row>
    <row r="23" spans="1:19" ht="51" x14ac:dyDescent="0.2">
      <c r="A23" s="10" t="s">
        <v>95</v>
      </c>
      <c r="B23" s="3" t="s">
        <v>176</v>
      </c>
      <c r="C23" s="27" t="s">
        <v>276</v>
      </c>
      <c r="D23" s="47" t="s">
        <v>294</v>
      </c>
      <c r="E23" s="27">
        <v>0</v>
      </c>
      <c r="F23" s="27">
        <v>0</v>
      </c>
      <c r="G23" s="27">
        <v>3</v>
      </c>
      <c r="H23" s="27">
        <v>3</v>
      </c>
      <c r="I23" s="27">
        <v>10</v>
      </c>
      <c r="J23" s="27">
        <v>10</v>
      </c>
      <c r="K23" s="27">
        <v>8</v>
      </c>
      <c r="L23" s="27">
        <v>8</v>
      </c>
      <c r="M23" s="27">
        <v>17</v>
      </c>
      <c r="N23" s="27">
        <v>17</v>
      </c>
      <c r="O23" s="27">
        <v>24</v>
      </c>
      <c r="P23" s="27">
        <v>23</v>
      </c>
      <c r="Q23" s="43"/>
      <c r="R23" s="27"/>
      <c r="S23" s="37">
        <v>4</v>
      </c>
    </row>
    <row r="24" spans="1:19" ht="51" x14ac:dyDescent="0.2">
      <c r="A24" s="10" t="s">
        <v>97</v>
      </c>
      <c r="B24" s="3" t="s">
        <v>177</v>
      </c>
      <c r="C24" s="27" t="s">
        <v>276</v>
      </c>
      <c r="D24" s="47" t="s">
        <v>295</v>
      </c>
      <c r="E24" s="27">
        <v>43</v>
      </c>
      <c r="F24" s="27">
        <v>41</v>
      </c>
      <c r="G24" s="27">
        <v>59</v>
      </c>
      <c r="H24" s="27">
        <v>59</v>
      </c>
      <c r="I24" s="27">
        <v>78</v>
      </c>
      <c r="J24" s="27">
        <v>78</v>
      </c>
      <c r="K24" s="27">
        <v>98</v>
      </c>
      <c r="L24" s="27">
        <v>98</v>
      </c>
      <c r="M24" s="27">
        <v>92</v>
      </c>
      <c r="N24" s="27">
        <v>92</v>
      </c>
      <c r="O24" s="27">
        <v>85</v>
      </c>
      <c r="P24" s="27">
        <v>84</v>
      </c>
      <c r="Q24" s="43"/>
      <c r="R24" s="27"/>
      <c r="S24" s="37">
        <v>6</v>
      </c>
    </row>
    <row r="25" spans="1:19" ht="114.75" x14ac:dyDescent="0.2">
      <c r="A25" s="10" t="s">
        <v>99</v>
      </c>
      <c r="B25" s="3" t="s">
        <v>178</v>
      </c>
      <c r="C25" s="27" t="s">
        <v>276</v>
      </c>
      <c r="D25" s="47" t="s">
        <v>296</v>
      </c>
      <c r="E25" s="27">
        <v>2</v>
      </c>
      <c r="F25" s="27">
        <v>2</v>
      </c>
      <c r="G25" s="27">
        <v>1</v>
      </c>
      <c r="H25" s="27">
        <v>1</v>
      </c>
      <c r="I25" s="27">
        <v>0</v>
      </c>
      <c r="J25" s="27">
        <v>0</v>
      </c>
      <c r="K25" s="27">
        <v>3</v>
      </c>
      <c r="L25" s="27">
        <v>3</v>
      </c>
      <c r="M25" s="27">
        <v>3</v>
      </c>
      <c r="N25" s="27">
        <v>3</v>
      </c>
      <c r="O25" s="27">
        <v>1</v>
      </c>
      <c r="P25" s="27">
        <v>1</v>
      </c>
      <c r="Q25" s="43"/>
      <c r="R25" s="27"/>
      <c r="S25" s="37">
        <v>2</v>
      </c>
    </row>
    <row r="26" spans="1:19" ht="51" x14ac:dyDescent="0.2">
      <c r="A26" s="10" t="s">
        <v>101</v>
      </c>
      <c r="B26" s="3" t="s">
        <v>179</v>
      </c>
      <c r="C26" s="27" t="s">
        <v>276</v>
      </c>
      <c r="D26" s="47" t="s">
        <v>297</v>
      </c>
      <c r="E26" s="27">
        <v>2</v>
      </c>
      <c r="F26" s="27">
        <v>2</v>
      </c>
      <c r="G26" s="27">
        <v>3</v>
      </c>
      <c r="H26" s="27">
        <v>3</v>
      </c>
      <c r="I26" s="27">
        <v>6</v>
      </c>
      <c r="J26" s="27">
        <v>6</v>
      </c>
      <c r="K26" s="27">
        <v>6</v>
      </c>
      <c r="L26" s="27">
        <v>5</v>
      </c>
      <c r="M26" s="27">
        <v>18</v>
      </c>
      <c r="N26" s="27">
        <v>18</v>
      </c>
      <c r="O26" s="27">
        <v>32</v>
      </c>
      <c r="P26" s="27">
        <v>32</v>
      </c>
      <c r="Q26" s="43"/>
      <c r="R26" s="27"/>
      <c r="S26" s="37">
        <v>4</v>
      </c>
    </row>
    <row r="27" spans="1:19" ht="63.75" x14ac:dyDescent="0.2">
      <c r="A27" s="10" t="s">
        <v>102</v>
      </c>
      <c r="B27" s="4" t="s">
        <v>180</v>
      </c>
      <c r="C27" s="27" t="s">
        <v>276</v>
      </c>
      <c r="D27" s="47" t="s">
        <v>298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2</v>
      </c>
      <c r="L27" s="27">
        <v>2</v>
      </c>
      <c r="M27" s="27">
        <v>13</v>
      </c>
      <c r="N27" s="27">
        <v>13</v>
      </c>
      <c r="O27" s="27">
        <v>12</v>
      </c>
      <c r="P27" s="27">
        <v>12</v>
      </c>
      <c r="Q27" s="43"/>
      <c r="R27" s="27"/>
      <c r="S27" s="37">
        <v>1</v>
      </c>
    </row>
    <row r="28" spans="1:19" ht="51" x14ac:dyDescent="0.2">
      <c r="A28" s="10" t="s">
        <v>104</v>
      </c>
      <c r="B28" s="4" t="s">
        <v>181</v>
      </c>
      <c r="C28" s="27" t="s">
        <v>276</v>
      </c>
      <c r="D28" s="47" t="s">
        <v>299</v>
      </c>
      <c r="E28" s="27">
        <v>6</v>
      </c>
      <c r="F28" s="27">
        <v>6</v>
      </c>
      <c r="G28" s="27">
        <v>14</v>
      </c>
      <c r="H28" s="27">
        <v>12</v>
      </c>
      <c r="I28" s="27">
        <v>9</v>
      </c>
      <c r="J28" s="27">
        <v>9</v>
      </c>
      <c r="K28" s="27">
        <v>10</v>
      </c>
      <c r="L28" s="27">
        <v>10</v>
      </c>
      <c r="M28" s="27">
        <v>13</v>
      </c>
      <c r="N28" s="27">
        <v>13</v>
      </c>
      <c r="O28" s="27">
        <v>3</v>
      </c>
      <c r="P28" s="27">
        <v>3</v>
      </c>
      <c r="Q28" s="43"/>
      <c r="R28" s="27"/>
      <c r="S28" s="37">
        <v>3</v>
      </c>
    </row>
    <row r="29" spans="1:19" s="13" customFormat="1" ht="15.75" x14ac:dyDescent="0.2">
      <c r="A29" s="16" t="s">
        <v>106</v>
      </c>
      <c r="B29" s="5" t="s">
        <v>182</v>
      </c>
      <c r="C29" s="40" t="s">
        <v>276</v>
      </c>
      <c r="D29" s="56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1"/>
    </row>
    <row r="30" spans="1:19" ht="51" x14ac:dyDescent="0.2">
      <c r="A30" s="10" t="s">
        <v>108</v>
      </c>
      <c r="B30" s="4" t="s">
        <v>183</v>
      </c>
      <c r="C30" s="27" t="s">
        <v>276</v>
      </c>
      <c r="D30" s="47" t="s">
        <v>300</v>
      </c>
      <c r="E30" s="27">
        <v>7</v>
      </c>
      <c r="F30" s="27">
        <v>7</v>
      </c>
      <c r="G30" s="27">
        <v>9</v>
      </c>
      <c r="H30" s="27">
        <v>9</v>
      </c>
      <c r="I30" s="27">
        <v>8</v>
      </c>
      <c r="J30" s="27">
        <v>8</v>
      </c>
      <c r="K30" s="27">
        <v>10</v>
      </c>
      <c r="L30" s="27">
        <v>10</v>
      </c>
      <c r="M30" s="27">
        <v>8</v>
      </c>
      <c r="N30" s="27">
        <v>8</v>
      </c>
      <c r="O30" s="27">
        <v>5</v>
      </c>
      <c r="P30" s="27">
        <v>5</v>
      </c>
      <c r="Q30" s="43"/>
      <c r="R30" s="27"/>
      <c r="S30" s="37">
        <v>2</v>
      </c>
    </row>
    <row r="31" spans="1:19" ht="51" x14ac:dyDescent="0.2">
      <c r="A31" s="10" t="s">
        <v>110</v>
      </c>
      <c r="B31" s="4" t="s">
        <v>184</v>
      </c>
      <c r="C31" s="27" t="s">
        <v>276</v>
      </c>
      <c r="D31" s="47" t="s">
        <v>301</v>
      </c>
      <c r="E31" s="27">
        <v>0</v>
      </c>
      <c r="F31" s="27">
        <v>0</v>
      </c>
      <c r="G31" s="27">
        <v>0</v>
      </c>
      <c r="H31" s="27">
        <v>0</v>
      </c>
      <c r="I31" s="27">
        <v>2</v>
      </c>
      <c r="J31" s="27">
        <v>2</v>
      </c>
      <c r="K31" s="27">
        <v>5</v>
      </c>
      <c r="L31" s="27">
        <v>5</v>
      </c>
      <c r="M31" s="27">
        <v>5</v>
      </c>
      <c r="N31" s="27">
        <v>5</v>
      </c>
      <c r="O31" s="27">
        <v>7</v>
      </c>
      <c r="P31" s="27">
        <v>7</v>
      </c>
      <c r="Q31" s="43"/>
      <c r="R31" s="27"/>
      <c r="S31" s="37">
        <v>3</v>
      </c>
    </row>
    <row r="32" spans="1:19" s="13" customFormat="1" ht="15.75" x14ac:dyDescent="0.2">
      <c r="A32" s="16" t="s">
        <v>112</v>
      </c>
      <c r="B32" s="5" t="s">
        <v>185</v>
      </c>
      <c r="C32" s="40" t="s">
        <v>276</v>
      </c>
      <c r="D32" s="56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1"/>
    </row>
    <row r="33" spans="1:19" ht="51" x14ac:dyDescent="0.2">
      <c r="A33" s="10" t="s">
        <v>114</v>
      </c>
      <c r="B33" s="4" t="s">
        <v>369</v>
      </c>
      <c r="C33" s="27" t="s">
        <v>276</v>
      </c>
      <c r="D33" s="47" t="s">
        <v>302</v>
      </c>
      <c r="E33" s="27">
        <v>0</v>
      </c>
      <c r="F33" s="27">
        <v>0</v>
      </c>
      <c r="G33" s="27">
        <v>0</v>
      </c>
      <c r="H33" s="27">
        <v>0</v>
      </c>
      <c r="I33" s="27">
        <v>8</v>
      </c>
      <c r="J33" s="27">
        <v>7</v>
      </c>
      <c r="K33" s="27">
        <v>26</v>
      </c>
      <c r="L33" s="27">
        <v>26</v>
      </c>
      <c r="M33" s="27">
        <v>34</v>
      </c>
      <c r="N33" s="27">
        <v>34</v>
      </c>
      <c r="O33" s="27">
        <v>22</v>
      </c>
      <c r="P33" s="27">
        <v>22</v>
      </c>
      <c r="Q33" s="43"/>
      <c r="R33" s="27" t="s">
        <v>303</v>
      </c>
      <c r="S33" s="37">
        <v>5</v>
      </c>
    </row>
    <row r="34" spans="1:19" ht="51" x14ac:dyDescent="0.2">
      <c r="A34" s="10" t="s">
        <v>116</v>
      </c>
      <c r="B34" s="4" t="s">
        <v>186</v>
      </c>
      <c r="C34" s="27" t="s">
        <v>276</v>
      </c>
      <c r="D34" s="47" t="s">
        <v>304</v>
      </c>
      <c r="E34" s="27">
        <v>6</v>
      </c>
      <c r="F34" s="27">
        <v>6</v>
      </c>
      <c r="G34" s="27">
        <v>0</v>
      </c>
      <c r="H34" s="27">
        <v>0</v>
      </c>
      <c r="I34" s="27">
        <v>35</v>
      </c>
      <c r="J34" s="27">
        <v>27</v>
      </c>
      <c r="K34" s="27">
        <v>43</v>
      </c>
      <c r="L34" s="27">
        <v>42</v>
      </c>
      <c r="M34" s="27">
        <v>67</v>
      </c>
      <c r="N34" s="27">
        <v>63</v>
      </c>
      <c r="O34" s="27">
        <v>75</v>
      </c>
      <c r="P34" s="27">
        <v>67</v>
      </c>
      <c r="Q34" s="43"/>
      <c r="R34" s="27"/>
      <c r="S34" s="37">
        <v>8</v>
      </c>
    </row>
    <row r="35" spans="1:19" s="13" customFormat="1" ht="15.75" x14ac:dyDescent="0.2">
      <c r="A35" s="16" t="s">
        <v>118</v>
      </c>
      <c r="B35" s="5" t="s">
        <v>187</v>
      </c>
      <c r="C35" s="40" t="s">
        <v>276</v>
      </c>
      <c r="D35" s="56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1"/>
    </row>
    <row r="36" spans="1:19" ht="51" x14ac:dyDescent="0.2">
      <c r="A36" s="10" t="s">
        <v>120</v>
      </c>
      <c r="B36" s="4" t="s">
        <v>188</v>
      </c>
      <c r="C36" s="27" t="s">
        <v>276</v>
      </c>
      <c r="D36" s="47" t="s">
        <v>305</v>
      </c>
      <c r="E36" s="27">
        <v>1</v>
      </c>
      <c r="F36" s="27">
        <v>1</v>
      </c>
      <c r="G36" s="27">
        <v>5</v>
      </c>
      <c r="H36" s="27">
        <v>5</v>
      </c>
      <c r="I36" s="27">
        <v>7</v>
      </c>
      <c r="J36" s="27">
        <v>7</v>
      </c>
      <c r="K36" s="27">
        <v>20</v>
      </c>
      <c r="L36" s="27">
        <v>20</v>
      </c>
      <c r="M36" s="27">
        <v>29</v>
      </c>
      <c r="N36" s="27">
        <v>29</v>
      </c>
      <c r="O36" s="27">
        <v>16</v>
      </c>
      <c r="P36" s="27">
        <v>16</v>
      </c>
      <c r="Q36" s="43"/>
      <c r="R36" s="27"/>
      <c r="S36" s="37">
        <v>1</v>
      </c>
    </row>
    <row r="37" spans="1:19" ht="51" x14ac:dyDescent="0.2">
      <c r="A37" s="10" t="s">
        <v>122</v>
      </c>
      <c r="B37" s="4" t="s">
        <v>189</v>
      </c>
      <c r="C37" s="27" t="s">
        <v>276</v>
      </c>
      <c r="D37" s="47" t="s">
        <v>306</v>
      </c>
      <c r="E37" s="27">
        <v>4</v>
      </c>
      <c r="F37" s="27">
        <v>4</v>
      </c>
      <c r="G37" s="27">
        <v>7</v>
      </c>
      <c r="H37" s="27">
        <v>7</v>
      </c>
      <c r="I37" s="27">
        <v>12</v>
      </c>
      <c r="J37" s="27">
        <v>12</v>
      </c>
      <c r="K37" s="27">
        <v>26</v>
      </c>
      <c r="L37" s="27">
        <v>26</v>
      </c>
      <c r="M37" s="27">
        <v>36</v>
      </c>
      <c r="N37" s="27">
        <v>36</v>
      </c>
      <c r="O37" s="27">
        <v>20</v>
      </c>
      <c r="P37" s="27">
        <v>20</v>
      </c>
      <c r="Q37" s="43"/>
      <c r="R37" s="27"/>
      <c r="S37" s="37">
        <v>3</v>
      </c>
    </row>
    <row r="38" spans="1:19" ht="63.75" x14ac:dyDescent="0.2">
      <c r="A38" s="10" t="s">
        <v>124</v>
      </c>
      <c r="B38" s="4" t="s">
        <v>190</v>
      </c>
      <c r="C38" s="27" t="s">
        <v>276</v>
      </c>
      <c r="D38" s="47" t="s">
        <v>307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0</v>
      </c>
      <c r="N38" s="27">
        <v>0</v>
      </c>
      <c r="O38" s="27">
        <v>0</v>
      </c>
      <c r="P38" s="27">
        <v>0</v>
      </c>
      <c r="Q38" s="43"/>
      <c r="R38" s="27"/>
      <c r="S38" s="37">
        <v>0</v>
      </c>
    </row>
    <row r="39" spans="1:19" ht="51" x14ac:dyDescent="0.2">
      <c r="A39" s="10" t="s">
        <v>125</v>
      </c>
      <c r="B39" s="4" t="s">
        <v>375</v>
      </c>
      <c r="C39" s="27" t="s">
        <v>276</v>
      </c>
      <c r="D39" s="47" t="s">
        <v>308</v>
      </c>
      <c r="E39" s="27">
        <v>1</v>
      </c>
      <c r="F39" s="27">
        <v>1</v>
      </c>
      <c r="G39" s="27">
        <v>5</v>
      </c>
      <c r="H39" s="27">
        <v>5</v>
      </c>
      <c r="I39" s="27">
        <v>7</v>
      </c>
      <c r="J39" s="27">
        <v>7</v>
      </c>
      <c r="K39" s="27">
        <v>21</v>
      </c>
      <c r="L39" s="27">
        <v>21</v>
      </c>
      <c r="M39" s="27">
        <v>29</v>
      </c>
      <c r="N39" s="27">
        <v>29</v>
      </c>
      <c r="O39" s="27">
        <v>16</v>
      </c>
      <c r="P39" s="27">
        <v>16</v>
      </c>
      <c r="Q39" s="43"/>
      <c r="R39" s="27"/>
      <c r="S39" s="37">
        <v>1</v>
      </c>
    </row>
    <row r="40" spans="1:19" ht="63.75" x14ac:dyDescent="0.2">
      <c r="A40" s="10" t="s">
        <v>126</v>
      </c>
      <c r="B40" s="4" t="s">
        <v>10</v>
      </c>
      <c r="C40" s="27" t="s">
        <v>276</v>
      </c>
      <c r="D40" s="58" t="s">
        <v>385</v>
      </c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27"/>
      <c r="R40" s="27"/>
      <c r="S40" s="37"/>
    </row>
    <row r="41" spans="1:19" ht="63.75" x14ac:dyDescent="0.2">
      <c r="A41" s="10" t="s">
        <v>128</v>
      </c>
      <c r="B41" s="4" t="s">
        <v>57</v>
      </c>
      <c r="C41" s="27" t="s">
        <v>276</v>
      </c>
      <c r="D41" s="47" t="s">
        <v>309</v>
      </c>
      <c r="E41" s="27">
        <v>0</v>
      </c>
      <c r="F41" s="27">
        <v>0</v>
      </c>
      <c r="G41" s="27">
        <v>0</v>
      </c>
      <c r="H41" s="27">
        <v>0</v>
      </c>
      <c r="I41" s="27">
        <v>0</v>
      </c>
      <c r="J41" s="27">
        <v>0</v>
      </c>
      <c r="K41" s="27">
        <v>1</v>
      </c>
      <c r="L41" s="27">
        <v>1</v>
      </c>
      <c r="M41" s="27">
        <v>2</v>
      </c>
      <c r="N41" s="27">
        <v>2</v>
      </c>
      <c r="O41" s="27">
        <v>3</v>
      </c>
      <c r="P41" s="27">
        <v>3</v>
      </c>
      <c r="Q41" s="43"/>
      <c r="R41" s="27"/>
      <c r="S41" s="37">
        <v>1</v>
      </c>
    </row>
    <row r="42" spans="1:19" ht="63.75" x14ac:dyDescent="0.2">
      <c r="A42" s="10" t="s">
        <v>130</v>
      </c>
      <c r="B42" s="4" t="s">
        <v>56</v>
      </c>
      <c r="C42" s="27" t="s">
        <v>276</v>
      </c>
      <c r="D42" s="47" t="s">
        <v>310</v>
      </c>
      <c r="E42" s="27">
        <v>0</v>
      </c>
      <c r="F42" s="27">
        <v>0</v>
      </c>
      <c r="G42" s="27">
        <v>0</v>
      </c>
      <c r="H42" s="27">
        <v>0</v>
      </c>
      <c r="I42" s="27">
        <v>0</v>
      </c>
      <c r="J42" s="27">
        <v>0</v>
      </c>
      <c r="K42" s="27">
        <v>0</v>
      </c>
      <c r="L42" s="27">
        <v>0</v>
      </c>
      <c r="M42" s="27">
        <v>0</v>
      </c>
      <c r="N42" s="27">
        <v>0</v>
      </c>
      <c r="O42" s="27">
        <v>0</v>
      </c>
      <c r="P42" s="27">
        <v>0</v>
      </c>
      <c r="Q42" s="43"/>
      <c r="R42" s="27"/>
      <c r="S42" s="37">
        <v>0</v>
      </c>
    </row>
    <row r="43" spans="1:19" s="13" customFormat="1" ht="15.75" x14ac:dyDescent="0.2">
      <c r="A43" s="16" t="s">
        <v>132</v>
      </c>
      <c r="B43" s="5" t="s">
        <v>55</v>
      </c>
      <c r="C43" s="40" t="s">
        <v>276</v>
      </c>
      <c r="D43" s="56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1"/>
    </row>
    <row r="44" spans="1:19" s="13" customFormat="1" ht="15.75" x14ac:dyDescent="0.2">
      <c r="A44" s="16" t="s">
        <v>133</v>
      </c>
      <c r="B44" s="5" t="s">
        <v>58</v>
      </c>
      <c r="C44" s="40" t="s">
        <v>276</v>
      </c>
      <c r="D44" s="56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1"/>
    </row>
    <row r="45" spans="1:19" s="13" customFormat="1" ht="15.75" x14ac:dyDescent="0.2">
      <c r="A45" s="16" t="s">
        <v>135</v>
      </c>
      <c r="B45" s="5" t="s">
        <v>66</v>
      </c>
      <c r="C45" s="40" t="s">
        <v>276</v>
      </c>
      <c r="D45" s="56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1"/>
    </row>
    <row r="46" spans="1:19" hidden="1" x14ac:dyDescent="0.2">
      <c r="A46" s="27"/>
      <c r="B46" s="27"/>
      <c r="C46" s="27"/>
      <c r="D46" s="45"/>
      <c r="E46" s="27">
        <f>SUM(E3:E45)</f>
        <v>293</v>
      </c>
      <c r="F46" s="27">
        <f t="shared" ref="F46:P46" si="0">SUM(F3:F45)</f>
        <v>288</v>
      </c>
      <c r="G46" s="27">
        <f t="shared" si="0"/>
        <v>364</v>
      </c>
      <c r="H46" s="27">
        <f t="shared" si="0"/>
        <v>344</v>
      </c>
      <c r="I46" s="27">
        <f t="shared" si="0"/>
        <v>652</v>
      </c>
      <c r="J46" s="27">
        <f t="shared" si="0"/>
        <v>581</v>
      </c>
      <c r="K46" s="27">
        <f t="shared" si="0"/>
        <v>1027</v>
      </c>
      <c r="L46" s="27">
        <f t="shared" si="0"/>
        <v>949</v>
      </c>
      <c r="M46" s="27">
        <f t="shared" si="0"/>
        <v>1446</v>
      </c>
      <c r="N46" s="27">
        <f t="shared" si="0"/>
        <v>1346</v>
      </c>
      <c r="O46" s="27">
        <f t="shared" si="0"/>
        <v>1445</v>
      </c>
      <c r="P46" s="27">
        <f t="shared" si="0"/>
        <v>1292</v>
      </c>
      <c r="Q46" s="43"/>
      <c r="R46" s="27"/>
      <c r="S46" s="28"/>
    </row>
    <row r="47" spans="1:19" hidden="1" x14ac:dyDescent="0.2">
      <c r="P47">
        <f>SUM(P3:P45)</f>
        <v>1292</v>
      </c>
    </row>
    <row r="48" spans="1:19" ht="15.75" x14ac:dyDescent="0.25">
      <c r="B48" s="9" t="s">
        <v>355</v>
      </c>
      <c r="C48">
        <f>E46+G46+I46+K46+M46+O46</f>
        <v>5227</v>
      </c>
    </row>
    <row r="49" spans="2:3" ht="15.75" x14ac:dyDescent="0.25">
      <c r="B49" s="9" t="s">
        <v>356</v>
      </c>
      <c r="C49">
        <f>F46+H46+J46+L46+N46+P46</f>
        <v>4800</v>
      </c>
    </row>
  </sheetData>
  <autoFilter ref="A2:S49" xr:uid="{5079E95E-8625-451D-9D65-4FFE0AECA081}">
    <filterColumn colId="1">
      <customFilters>
        <customFilter operator="notEqual" val=" "/>
      </customFilters>
    </filterColumn>
  </autoFilter>
  <mergeCells count="12">
    <mergeCell ref="S1:S2"/>
    <mergeCell ref="A1:A2"/>
    <mergeCell ref="B1:B2"/>
    <mergeCell ref="C1:C2"/>
    <mergeCell ref="D1:D2"/>
    <mergeCell ref="E1:F1"/>
    <mergeCell ref="G1:H1"/>
    <mergeCell ref="I1:J1"/>
    <mergeCell ref="K1:L1"/>
    <mergeCell ref="M1:N1"/>
    <mergeCell ref="O1:P1"/>
    <mergeCell ref="Q1:R1"/>
  </mergeCells>
  <conditionalFormatting sqref="B1">
    <cfRule type="duplicateValues" dxfId="3" priority="1"/>
  </conditionalFormatting>
  <conditionalFormatting sqref="B3:B1048576">
    <cfRule type="duplicateValues" dxfId="2" priority="2"/>
  </conditionalFormatting>
  <hyperlinks>
    <hyperlink ref="D40" r:id="rId1" xr:uid="{FC9DC97C-D94A-4C9F-9ACF-E6DF690EB2FD}"/>
    <hyperlink ref="D3" r:id="rId2" xr:uid="{07565FD6-936F-4C85-8BFA-5B3235FCD8E0}"/>
    <hyperlink ref="D4" r:id="rId3" xr:uid="{1A4F96B2-69DB-4ECF-BE75-F5E4A37D91AE}"/>
    <hyperlink ref="D6" r:id="rId4" xr:uid="{0AC569BB-EAE9-4529-83A1-54841D6A2CEB}"/>
    <hyperlink ref="D7" r:id="rId5" xr:uid="{491BA31B-7740-4D4C-8997-BA2D2EF27361}"/>
    <hyperlink ref="D8" r:id="rId6" xr:uid="{A28855E9-9AAA-480C-A10B-1E4577BD5C32}"/>
    <hyperlink ref="D9" r:id="rId7" xr:uid="{0FF41AE8-63FA-4331-A024-AA0694D4EE7E}"/>
    <hyperlink ref="D10" r:id="rId8" xr:uid="{5B104651-AB2D-4279-B7ED-BF041A4574D7}"/>
    <hyperlink ref="D11" r:id="rId9" xr:uid="{287F87A8-1B38-4BFB-A550-627FD23A9F4D}"/>
    <hyperlink ref="D12" r:id="rId10" xr:uid="{F35AAFB7-9CCE-4DA3-AFF6-C15436FE5A2B}"/>
    <hyperlink ref="D13" r:id="rId11" xr:uid="{3DC96A2B-A2FE-47E9-B52F-1BEC1E35B740}"/>
    <hyperlink ref="D14" r:id="rId12" xr:uid="{2907320E-AC29-40E2-8796-6D821BAAEF9D}"/>
    <hyperlink ref="D15" r:id="rId13" xr:uid="{DE103636-C32D-4966-85D0-39A1F854DABC}"/>
    <hyperlink ref="D16" r:id="rId14" xr:uid="{51B83B15-A9A4-43AE-B7E7-B9B00A538705}"/>
    <hyperlink ref="D18" r:id="rId15" xr:uid="{A8CC5D67-E545-446D-9BFB-8AAC98897C6B}"/>
    <hyperlink ref="D19" r:id="rId16" xr:uid="{AD3D1DBB-2EF6-4538-AF8B-DC177553FE5B}"/>
    <hyperlink ref="D20" r:id="rId17" xr:uid="{DA439A10-522D-4D47-B1FA-AE2CBF2A62A0}"/>
    <hyperlink ref="D21" r:id="rId18" xr:uid="{7BCECE62-4286-4EEC-8D12-963E93F1FC07}"/>
    <hyperlink ref="D22" r:id="rId19" xr:uid="{709DB507-25F0-498C-BF24-5B147C89342A}"/>
    <hyperlink ref="D23" r:id="rId20" xr:uid="{721E1500-2328-4B2C-97D2-D80FFAD91C9A}"/>
    <hyperlink ref="D24" r:id="rId21" xr:uid="{1E96C810-B4E7-471C-9A9E-39D24492F260}"/>
    <hyperlink ref="D25" r:id="rId22" xr:uid="{AC7E12C0-7FF3-4389-BC4D-C1BF63E76734}"/>
    <hyperlink ref="D26" r:id="rId23" xr:uid="{56458119-439C-4C23-96AA-58377E14F315}"/>
    <hyperlink ref="D27" r:id="rId24" xr:uid="{4658C943-9E0E-4534-8C11-9A3ABF05CF43}"/>
    <hyperlink ref="D28" r:id="rId25" xr:uid="{BA7F6FF9-9307-458A-B797-8FA5C32C4761}"/>
    <hyperlink ref="D30" r:id="rId26" xr:uid="{E7D6EACA-2046-4E08-BAF4-0F0F2F4318E7}"/>
    <hyperlink ref="D33" r:id="rId27" xr:uid="{F975F62B-09D7-4A64-909C-F7DE4CCE1576}"/>
    <hyperlink ref="D31" r:id="rId28" xr:uid="{1106EEFD-CADD-4528-98FE-DDC950BACF34}"/>
    <hyperlink ref="D34" r:id="rId29" xr:uid="{EC626E97-75AD-4469-82B2-2B03A6B0FC48}"/>
    <hyperlink ref="D36" r:id="rId30" xr:uid="{5A011011-1E22-463A-AAC4-A6258772095F}"/>
    <hyperlink ref="D37" r:id="rId31" xr:uid="{4A142F3D-E137-45BD-B108-FE1E846518D8}"/>
    <hyperlink ref="D38" r:id="rId32" xr:uid="{01B21605-3621-4609-9045-DDA68E30B28B}"/>
    <hyperlink ref="D39" r:id="rId33" xr:uid="{2631E16E-23A3-4E6B-BAAD-142E440E54D3}"/>
    <hyperlink ref="D41" r:id="rId34" xr:uid="{486D6773-BED6-4E7A-92D8-5D72FD289CE5}"/>
    <hyperlink ref="D42" r:id="rId35" xr:uid="{3ACB1515-AD2F-4623-AD55-64E782FC846B}"/>
  </hyperlinks>
  <pageMargins left="0.7" right="0.7" top="0.75" bottom="0.75" header="0.3" footer="0.3"/>
  <pageSetup orientation="portrait" r:id="rId3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3B2D9-B2DF-41C3-A174-6057E895B5E3}">
  <dimension ref="A1:S44"/>
  <sheetViews>
    <sheetView zoomScale="90" zoomScaleNormal="90" workbookViewId="0">
      <selection activeCell="V3" sqref="V3"/>
    </sheetView>
  </sheetViews>
  <sheetFormatPr defaultRowHeight="12.75" x14ac:dyDescent="0.2"/>
  <cols>
    <col min="2" max="2" width="44.140625" customWidth="1"/>
    <col min="3" max="3" width="9.42578125" customWidth="1"/>
    <col min="4" max="4" width="17.140625" style="57" customWidth="1"/>
    <col min="5" max="5" width="10.5703125" hidden="1" customWidth="1"/>
    <col min="6" max="7" width="7.7109375" hidden="1" customWidth="1"/>
    <col min="8" max="9" width="10.7109375" hidden="1" customWidth="1"/>
    <col min="10" max="14" width="8.42578125" hidden="1" customWidth="1"/>
    <col min="15" max="16" width="8.42578125" customWidth="1"/>
    <col min="17" max="17" width="10.42578125" style="15" customWidth="1"/>
    <col min="19" max="19" width="9.140625" style="25"/>
  </cols>
  <sheetData>
    <row r="1" spans="1:19" ht="15.75" x14ac:dyDescent="0.2">
      <c r="A1" s="64" t="s">
        <v>68</v>
      </c>
      <c r="B1" s="64" t="s">
        <v>69</v>
      </c>
      <c r="C1" s="63" t="s">
        <v>13</v>
      </c>
      <c r="D1" s="65" t="s">
        <v>67</v>
      </c>
      <c r="E1" s="63">
        <v>2020</v>
      </c>
      <c r="F1" s="63"/>
      <c r="G1" s="63">
        <v>2021</v>
      </c>
      <c r="H1" s="63"/>
      <c r="I1" s="63">
        <v>2022</v>
      </c>
      <c r="J1" s="63"/>
      <c r="K1" s="63">
        <v>2023</v>
      </c>
      <c r="L1" s="63"/>
      <c r="M1" s="63">
        <v>2024</v>
      </c>
      <c r="N1" s="63"/>
      <c r="O1" s="63">
        <v>2025</v>
      </c>
      <c r="P1" s="63"/>
      <c r="Q1" s="63">
        <v>2026</v>
      </c>
      <c r="R1" s="63"/>
      <c r="S1" s="63" t="s">
        <v>4</v>
      </c>
    </row>
    <row r="2" spans="1:19" ht="47.25" x14ac:dyDescent="0.2">
      <c r="A2" s="64"/>
      <c r="B2" s="64"/>
      <c r="C2" s="63"/>
      <c r="D2" s="65"/>
      <c r="E2" s="36" t="s">
        <v>379</v>
      </c>
      <c r="F2" s="35" t="s">
        <v>380</v>
      </c>
      <c r="G2" s="36" t="s">
        <v>379</v>
      </c>
      <c r="H2" s="35" t="s">
        <v>380</v>
      </c>
      <c r="I2" s="36" t="s">
        <v>379</v>
      </c>
      <c r="J2" s="35" t="s">
        <v>380</v>
      </c>
      <c r="K2" s="36" t="s">
        <v>379</v>
      </c>
      <c r="L2" s="35" t="s">
        <v>380</v>
      </c>
      <c r="M2" s="36" t="s">
        <v>379</v>
      </c>
      <c r="N2" s="35" t="s">
        <v>380</v>
      </c>
      <c r="O2" s="36" t="s">
        <v>379</v>
      </c>
      <c r="P2" s="35" t="s">
        <v>380</v>
      </c>
      <c r="Q2" s="36" t="s">
        <v>379</v>
      </c>
      <c r="R2" s="35" t="s">
        <v>380</v>
      </c>
      <c r="S2" s="63"/>
    </row>
    <row r="3" spans="1:19" ht="51" x14ac:dyDescent="0.2">
      <c r="A3" s="10" t="s">
        <v>70</v>
      </c>
      <c r="B3" s="3" t="s">
        <v>191</v>
      </c>
      <c r="C3" s="27" t="s">
        <v>378</v>
      </c>
      <c r="D3" s="47" t="s">
        <v>311</v>
      </c>
      <c r="E3" s="27">
        <v>34</v>
      </c>
      <c r="F3" s="27">
        <v>34</v>
      </c>
      <c r="G3" s="27">
        <v>38</v>
      </c>
      <c r="H3" s="27">
        <v>38</v>
      </c>
      <c r="I3" s="27">
        <v>80</v>
      </c>
      <c r="J3" s="27">
        <v>80</v>
      </c>
      <c r="K3" s="27">
        <v>113</v>
      </c>
      <c r="L3" s="27">
        <v>113</v>
      </c>
      <c r="M3" s="27">
        <v>205</v>
      </c>
      <c r="N3" s="27">
        <v>203</v>
      </c>
      <c r="O3" s="27">
        <v>304</v>
      </c>
      <c r="P3" s="27">
        <v>280</v>
      </c>
      <c r="Q3" s="43"/>
      <c r="R3" s="27"/>
      <c r="S3" s="37">
        <v>16</v>
      </c>
    </row>
    <row r="4" spans="1:19" ht="51" x14ac:dyDescent="0.2">
      <c r="A4" s="10" t="s">
        <v>71</v>
      </c>
      <c r="B4" s="4" t="s">
        <v>192</v>
      </c>
      <c r="C4" s="27" t="s">
        <v>378</v>
      </c>
      <c r="D4" s="47" t="s">
        <v>312</v>
      </c>
      <c r="E4" s="27">
        <v>11</v>
      </c>
      <c r="F4" s="27">
        <v>9</v>
      </c>
      <c r="G4" s="27">
        <v>10</v>
      </c>
      <c r="H4" s="27">
        <v>10</v>
      </c>
      <c r="I4" s="27">
        <v>11</v>
      </c>
      <c r="J4" s="27">
        <v>8</v>
      </c>
      <c r="K4" s="27">
        <v>51</v>
      </c>
      <c r="L4" s="27">
        <v>48</v>
      </c>
      <c r="M4" s="27">
        <v>95</v>
      </c>
      <c r="N4" s="27">
        <v>87</v>
      </c>
      <c r="O4" s="27">
        <v>116</v>
      </c>
      <c r="P4" s="27">
        <v>113</v>
      </c>
      <c r="Q4" s="43"/>
      <c r="R4" s="27"/>
      <c r="S4" s="37">
        <v>11</v>
      </c>
    </row>
    <row r="5" spans="1:19" ht="51" x14ac:dyDescent="0.2">
      <c r="A5" s="10" t="s">
        <v>72</v>
      </c>
      <c r="B5" s="4" t="s">
        <v>193</v>
      </c>
      <c r="C5" s="27" t="s">
        <v>378</v>
      </c>
      <c r="D5" s="47" t="s">
        <v>313</v>
      </c>
      <c r="E5" s="27">
        <v>21</v>
      </c>
      <c r="F5" s="27">
        <v>8</v>
      </c>
      <c r="G5" s="27">
        <v>32</v>
      </c>
      <c r="H5" s="27">
        <v>9</v>
      </c>
      <c r="I5" s="27">
        <v>39</v>
      </c>
      <c r="J5" s="27">
        <v>25</v>
      </c>
      <c r="K5" s="27">
        <v>104</v>
      </c>
      <c r="L5" s="27">
        <v>64</v>
      </c>
      <c r="M5" s="27">
        <v>241</v>
      </c>
      <c r="N5" s="27">
        <v>190</v>
      </c>
      <c r="O5" s="27">
        <v>337</v>
      </c>
      <c r="P5" s="27">
        <v>302</v>
      </c>
      <c r="Q5" s="43"/>
      <c r="R5" s="27"/>
      <c r="S5" s="37">
        <v>16</v>
      </c>
    </row>
    <row r="6" spans="1:19" ht="51" x14ac:dyDescent="0.2">
      <c r="A6" s="10" t="s">
        <v>73</v>
      </c>
      <c r="B6" s="3" t="s">
        <v>194</v>
      </c>
      <c r="C6" s="27" t="s">
        <v>378</v>
      </c>
      <c r="D6" s="47" t="s">
        <v>314</v>
      </c>
      <c r="E6" s="27">
        <v>19</v>
      </c>
      <c r="F6" s="27">
        <v>18</v>
      </c>
      <c r="G6" s="27">
        <v>49</v>
      </c>
      <c r="H6" s="27">
        <v>47</v>
      </c>
      <c r="I6" s="27">
        <v>40</v>
      </c>
      <c r="J6" s="27">
        <v>39</v>
      </c>
      <c r="K6" s="27">
        <v>77</v>
      </c>
      <c r="L6" s="27">
        <v>76</v>
      </c>
      <c r="M6" s="27">
        <v>106</v>
      </c>
      <c r="N6" s="27">
        <v>105</v>
      </c>
      <c r="O6" s="27">
        <v>129</v>
      </c>
      <c r="P6" s="27">
        <v>125</v>
      </c>
      <c r="Q6" s="43"/>
      <c r="R6" s="27"/>
      <c r="S6" s="37">
        <v>12</v>
      </c>
    </row>
    <row r="7" spans="1:19" ht="51" x14ac:dyDescent="0.2">
      <c r="A7" s="10" t="s">
        <v>74</v>
      </c>
      <c r="B7" s="4" t="s">
        <v>195</v>
      </c>
      <c r="C7" s="27" t="s">
        <v>378</v>
      </c>
      <c r="D7" s="47" t="s">
        <v>315</v>
      </c>
      <c r="E7" s="27">
        <v>6</v>
      </c>
      <c r="F7" s="27">
        <v>5</v>
      </c>
      <c r="G7" s="27">
        <v>10</v>
      </c>
      <c r="H7" s="27">
        <v>9</v>
      </c>
      <c r="I7" s="27">
        <v>28</v>
      </c>
      <c r="J7" s="27">
        <v>28</v>
      </c>
      <c r="K7" s="27">
        <v>28</v>
      </c>
      <c r="L7" s="27">
        <v>27</v>
      </c>
      <c r="M7" s="27">
        <v>58</v>
      </c>
      <c r="N7" s="27">
        <v>57</v>
      </c>
      <c r="O7" s="27">
        <v>51</v>
      </c>
      <c r="P7" s="27">
        <v>49</v>
      </c>
      <c r="Q7" s="43"/>
      <c r="R7" s="27"/>
      <c r="S7" s="37">
        <v>8</v>
      </c>
    </row>
    <row r="8" spans="1:19" ht="51" x14ac:dyDescent="0.2">
      <c r="A8" s="10" t="s">
        <v>75</v>
      </c>
      <c r="B8" s="4" t="s">
        <v>196</v>
      </c>
      <c r="C8" s="27" t="s">
        <v>378</v>
      </c>
      <c r="D8" s="47" t="s">
        <v>316</v>
      </c>
      <c r="E8" s="27">
        <v>8</v>
      </c>
      <c r="F8" s="27">
        <v>8</v>
      </c>
      <c r="G8" s="27">
        <v>17</v>
      </c>
      <c r="H8" s="27">
        <v>16</v>
      </c>
      <c r="I8" s="27">
        <v>28</v>
      </c>
      <c r="J8" s="27">
        <v>17</v>
      </c>
      <c r="K8" s="27">
        <v>74</v>
      </c>
      <c r="L8" s="27">
        <v>70</v>
      </c>
      <c r="M8" s="27">
        <v>146</v>
      </c>
      <c r="N8" s="27">
        <v>127</v>
      </c>
      <c r="O8" s="27">
        <v>176</v>
      </c>
      <c r="P8" s="27">
        <v>164</v>
      </c>
      <c r="Q8" s="43"/>
      <c r="R8" s="27"/>
      <c r="S8" s="37">
        <v>12</v>
      </c>
    </row>
    <row r="9" spans="1:19" ht="51" x14ac:dyDescent="0.2">
      <c r="A9" s="10" t="s">
        <v>76</v>
      </c>
      <c r="B9" s="4" t="s">
        <v>65</v>
      </c>
      <c r="C9" s="27" t="s">
        <v>378</v>
      </c>
      <c r="D9" s="47" t="s">
        <v>317</v>
      </c>
      <c r="E9" s="27">
        <v>9</v>
      </c>
      <c r="F9" s="27">
        <v>6</v>
      </c>
      <c r="G9" s="27">
        <v>11</v>
      </c>
      <c r="H9" s="27">
        <v>9</v>
      </c>
      <c r="I9" s="27">
        <v>25</v>
      </c>
      <c r="J9" s="27">
        <v>20</v>
      </c>
      <c r="K9" s="27">
        <v>68</v>
      </c>
      <c r="L9" s="27">
        <v>65</v>
      </c>
      <c r="M9" s="27">
        <v>132</v>
      </c>
      <c r="N9" s="27">
        <v>118</v>
      </c>
      <c r="O9" s="27">
        <v>154</v>
      </c>
      <c r="P9" s="27">
        <v>139</v>
      </c>
      <c r="Q9" s="43"/>
      <c r="R9" s="27"/>
      <c r="S9" s="37">
        <v>11</v>
      </c>
    </row>
    <row r="10" spans="1:19" ht="51" x14ac:dyDescent="0.2">
      <c r="A10" s="10" t="s">
        <v>77</v>
      </c>
      <c r="B10" s="4" t="s">
        <v>26</v>
      </c>
      <c r="C10" s="27" t="s">
        <v>378</v>
      </c>
      <c r="D10" s="47" t="s">
        <v>318</v>
      </c>
      <c r="E10" s="27">
        <v>19</v>
      </c>
      <c r="F10" s="27">
        <v>12</v>
      </c>
      <c r="G10" s="27">
        <v>39</v>
      </c>
      <c r="H10" s="27">
        <v>28</v>
      </c>
      <c r="I10" s="27">
        <v>59</v>
      </c>
      <c r="J10" s="27">
        <v>56</v>
      </c>
      <c r="K10" s="27">
        <v>134</v>
      </c>
      <c r="L10" s="27">
        <v>114</v>
      </c>
      <c r="M10" s="27">
        <v>164</v>
      </c>
      <c r="N10" s="27">
        <v>164</v>
      </c>
      <c r="O10" s="27">
        <v>174</v>
      </c>
      <c r="P10" s="27">
        <v>168</v>
      </c>
      <c r="Q10" s="43"/>
      <c r="R10" s="27"/>
      <c r="S10" s="37">
        <v>14</v>
      </c>
    </row>
    <row r="11" spans="1:19" ht="51" x14ac:dyDescent="0.2">
      <c r="A11" s="10" t="s">
        <v>78</v>
      </c>
      <c r="B11" s="4" t="s">
        <v>27</v>
      </c>
      <c r="C11" s="27" t="s">
        <v>378</v>
      </c>
      <c r="D11" s="47" t="s">
        <v>319</v>
      </c>
      <c r="E11" s="27">
        <v>1</v>
      </c>
      <c r="F11" s="27">
        <v>0</v>
      </c>
      <c r="G11" s="27">
        <v>5</v>
      </c>
      <c r="H11" s="27">
        <v>5</v>
      </c>
      <c r="I11" s="27">
        <v>35</v>
      </c>
      <c r="J11" s="27">
        <v>34</v>
      </c>
      <c r="K11" s="27">
        <v>40</v>
      </c>
      <c r="L11" s="27">
        <v>39</v>
      </c>
      <c r="M11" s="27">
        <v>84</v>
      </c>
      <c r="N11" s="27">
        <v>82</v>
      </c>
      <c r="O11" s="27">
        <v>74</v>
      </c>
      <c r="P11" s="27">
        <v>74</v>
      </c>
      <c r="Q11" s="43"/>
      <c r="R11" s="27"/>
      <c r="S11" s="37">
        <v>7</v>
      </c>
    </row>
    <row r="12" spans="1:19" ht="51" x14ac:dyDescent="0.2">
      <c r="A12" s="10" t="s">
        <v>80</v>
      </c>
      <c r="B12" s="4" t="s">
        <v>197</v>
      </c>
      <c r="C12" s="27" t="s">
        <v>378</v>
      </c>
      <c r="D12" s="47" t="s">
        <v>320</v>
      </c>
      <c r="E12" s="27">
        <v>4</v>
      </c>
      <c r="F12" s="27">
        <v>4</v>
      </c>
      <c r="G12" s="27">
        <v>51</v>
      </c>
      <c r="H12" s="27">
        <v>51</v>
      </c>
      <c r="I12" s="27">
        <v>14</v>
      </c>
      <c r="J12" s="27">
        <v>14</v>
      </c>
      <c r="K12" s="27">
        <v>37</v>
      </c>
      <c r="L12" s="27">
        <v>35</v>
      </c>
      <c r="M12" s="27">
        <v>42</v>
      </c>
      <c r="N12" s="27">
        <v>42</v>
      </c>
      <c r="O12" s="27">
        <v>30</v>
      </c>
      <c r="P12" s="27">
        <v>30</v>
      </c>
      <c r="Q12" s="43"/>
      <c r="R12" s="27"/>
      <c r="S12" s="37">
        <v>6</v>
      </c>
    </row>
    <row r="13" spans="1:19" ht="51" x14ac:dyDescent="0.2">
      <c r="A13" s="10" t="s">
        <v>81</v>
      </c>
      <c r="B13" s="4" t="s">
        <v>28</v>
      </c>
      <c r="C13" s="27" t="s">
        <v>378</v>
      </c>
      <c r="D13" s="47" t="s">
        <v>321</v>
      </c>
      <c r="E13" s="27">
        <v>1</v>
      </c>
      <c r="F13" s="27">
        <v>1</v>
      </c>
      <c r="G13" s="27">
        <v>5</v>
      </c>
      <c r="H13" s="27">
        <v>5</v>
      </c>
      <c r="I13" s="27">
        <v>7</v>
      </c>
      <c r="J13" s="27">
        <v>6</v>
      </c>
      <c r="K13" s="27">
        <v>7</v>
      </c>
      <c r="L13" s="27">
        <v>7</v>
      </c>
      <c r="M13" s="27">
        <v>6</v>
      </c>
      <c r="N13" s="27">
        <v>6</v>
      </c>
      <c r="O13" s="27">
        <v>11</v>
      </c>
      <c r="P13" s="27">
        <v>9</v>
      </c>
      <c r="Q13" s="43"/>
      <c r="R13" s="27"/>
      <c r="S13" s="37">
        <v>4</v>
      </c>
    </row>
    <row r="14" spans="1:19" s="19" customFormat="1" ht="51" x14ac:dyDescent="0.2">
      <c r="A14" s="17" t="s">
        <v>82</v>
      </c>
      <c r="B14" s="4" t="s">
        <v>376</v>
      </c>
      <c r="C14" s="27" t="s">
        <v>378</v>
      </c>
      <c r="D14" s="59" t="s">
        <v>322</v>
      </c>
      <c r="E14" s="38">
        <v>1</v>
      </c>
      <c r="F14" s="38">
        <v>1</v>
      </c>
      <c r="G14" s="38">
        <v>6</v>
      </c>
      <c r="H14" s="38">
        <v>6</v>
      </c>
      <c r="I14" s="38">
        <v>20</v>
      </c>
      <c r="J14" s="38">
        <v>18</v>
      </c>
      <c r="K14" s="38">
        <v>22</v>
      </c>
      <c r="L14" s="38">
        <v>20</v>
      </c>
      <c r="M14" s="38">
        <v>58</v>
      </c>
      <c r="N14" s="38">
        <v>56</v>
      </c>
      <c r="O14" s="38">
        <v>34</v>
      </c>
      <c r="P14" s="38">
        <v>34</v>
      </c>
      <c r="Q14" s="38"/>
      <c r="R14" s="38"/>
      <c r="S14" s="39">
        <v>6</v>
      </c>
    </row>
    <row r="15" spans="1:19" s="19" customFormat="1" ht="63.75" x14ac:dyDescent="0.2">
      <c r="A15" s="17"/>
      <c r="B15" s="18"/>
      <c r="C15" s="27" t="s">
        <v>378</v>
      </c>
      <c r="D15" s="55" t="s">
        <v>323</v>
      </c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9"/>
    </row>
    <row r="16" spans="1:19" ht="51" x14ac:dyDescent="0.2">
      <c r="A16" s="10" t="s">
        <v>83</v>
      </c>
      <c r="B16" s="4" t="s">
        <v>29</v>
      </c>
      <c r="C16" s="27" t="s">
        <v>378</v>
      </c>
      <c r="D16" s="47" t="s">
        <v>324</v>
      </c>
      <c r="E16" s="27">
        <v>7</v>
      </c>
      <c r="F16" s="27">
        <v>7</v>
      </c>
      <c r="G16" s="27">
        <v>11</v>
      </c>
      <c r="H16" s="27">
        <v>9</v>
      </c>
      <c r="I16" s="27">
        <v>10</v>
      </c>
      <c r="J16" s="27">
        <v>10</v>
      </c>
      <c r="K16" s="27">
        <v>18</v>
      </c>
      <c r="L16" s="27">
        <v>18</v>
      </c>
      <c r="M16" s="27">
        <v>40</v>
      </c>
      <c r="N16" s="27">
        <v>39</v>
      </c>
      <c r="O16" s="27">
        <v>37</v>
      </c>
      <c r="P16" s="27">
        <v>36</v>
      </c>
      <c r="Q16" s="43"/>
      <c r="R16" s="27"/>
      <c r="S16" s="37">
        <v>7</v>
      </c>
    </row>
    <row r="17" spans="1:19" ht="51" x14ac:dyDescent="0.2">
      <c r="A17" s="10" t="s">
        <v>85</v>
      </c>
      <c r="B17" s="4" t="s">
        <v>36</v>
      </c>
      <c r="C17" s="27" t="s">
        <v>378</v>
      </c>
      <c r="D17" s="47" t="s">
        <v>325</v>
      </c>
      <c r="E17" s="27">
        <v>0</v>
      </c>
      <c r="F17" s="27">
        <v>0</v>
      </c>
      <c r="G17" s="27">
        <v>0</v>
      </c>
      <c r="H17" s="27">
        <v>0</v>
      </c>
      <c r="I17" s="27">
        <v>10</v>
      </c>
      <c r="J17" s="27">
        <v>10</v>
      </c>
      <c r="K17" s="27">
        <v>6</v>
      </c>
      <c r="L17" s="27">
        <v>6</v>
      </c>
      <c r="M17" s="27">
        <v>24</v>
      </c>
      <c r="N17" s="27">
        <v>23</v>
      </c>
      <c r="O17" s="27">
        <v>27</v>
      </c>
      <c r="P17" s="27">
        <v>27</v>
      </c>
      <c r="Q17" s="43"/>
      <c r="R17" s="27"/>
      <c r="S17" s="37">
        <v>5</v>
      </c>
    </row>
    <row r="18" spans="1:19" s="19" customFormat="1" ht="51" x14ac:dyDescent="0.2">
      <c r="A18" s="17" t="s">
        <v>87</v>
      </c>
      <c r="B18" s="18" t="s">
        <v>30</v>
      </c>
      <c r="C18" s="27" t="s">
        <v>378</v>
      </c>
      <c r="D18" s="59" t="s">
        <v>326</v>
      </c>
      <c r="E18" s="38">
        <v>3</v>
      </c>
      <c r="F18" s="38">
        <v>1</v>
      </c>
      <c r="G18" s="38">
        <v>0</v>
      </c>
      <c r="H18" s="38">
        <v>0</v>
      </c>
      <c r="I18" s="38">
        <v>5</v>
      </c>
      <c r="J18" s="38">
        <v>5</v>
      </c>
      <c r="K18" s="38">
        <v>4</v>
      </c>
      <c r="L18" s="38">
        <v>4</v>
      </c>
      <c r="M18" s="38">
        <v>10</v>
      </c>
      <c r="N18" s="38">
        <v>10</v>
      </c>
      <c r="O18" s="38">
        <v>11</v>
      </c>
      <c r="P18" s="38">
        <v>11</v>
      </c>
      <c r="Q18" s="38"/>
      <c r="R18" s="38"/>
      <c r="S18" s="39">
        <v>3</v>
      </c>
    </row>
    <row r="19" spans="1:19" s="19" customFormat="1" ht="51" x14ac:dyDescent="0.2">
      <c r="A19" s="17"/>
      <c r="B19" s="18"/>
      <c r="C19" s="27" t="s">
        <v>378</v>
      </c>
      <c r="D19" s="55" t="s">
        <v>327</v>
      </c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9"/>
    </row>
    <row r="20" spans="1:19" ht="51" x14ac:dyDescent="0.2">
      <c r="A20" s="10" t="s">
        <v>89</v>
      </c>
      <c r="B20" s="4" t="s">
        <v>198</v>
      </c>
      <c r="C20" s="27" t="s">
        <v>378</v>
      </c>
      <c r="D20" s="47" t="s">
        <v>328</v>
      </c>
      <c r="E20" s="27">
        <v>0</v>
      </c>
      <c r="F20" s="27">
        <v>0</v>
      </c>
      <c r="G20" s="27">
        <v>0</v>
      </c>
      <c r="H20" s="27">
        <v>0</v>
      </c>
      <c r="I20" s="27">
        <v>1</v>
      </c>
      <c r="J20" s="27">
        <v>1</v>
      </c>
      <c r="K20" s="27">
        <v>1</v>
      </c>
      <c r="L20" s="27">
        <v>1</v>
      </c>
      <c r="M20" s="27">
        <v>14</v>
      </c>
      <c r="N20" s="27">
        <v>14</v>
      </c>
      <c r="O20" s="27">
        <v>21</v>
      </c>
      <c r="P20" s="27">
        <v>21</v>
      </c>
      <c r="Q20" s="43"/>
      <c r="R20" s="27"/>
      <c r="S20" s="37">
        <v>2</v>
      </c>
    </row>
    <row r="21" spans="1:19" ht="51" x14ac:dyDescent="0.2">
      <c r="A21" s="10" t="s">
        <v>91</v>
      </c>
      <c r="B21" s="4" t="s">
        <v>32</v>
      </c>
      <c r="C21" s="27" t="s">
        <v>378</v>
      </c>
      <c r="D21" s="47" t="s">
        <v>329</v>
      </c>
      <c r="E21" s="27">
        <v>0</v>
      </c>
      <c r="F21" s="27">
        <v>0</v>
      </c>
      <c r="G21" s="27">
        <v>2</v>
      </c>
      <c r="H21" s="27">
        <v>2</v>
      </c>
      <c r="I21" s="27">
        <v>8</v>
      </c>
      <c r="J21" s="27">
        <v>8</v>
      </c>
      <c r="K21" s="27">
        <v>17</v>
      </c>
      <c r="L21" s="27">
        <v>16</v>
      </c>
      <c r="M21" s="27">
        <v>38</v>
      </c>
      <c r="N21" s="27">
        <v>38</v>
      </c>
      <c r="O21" s="27">
        <v>51</v>
      </c>
      <c r="P21" s="27">
        <v>50</v>
      </c>
      <c r="Q21" s="43"/>
      <c r="R21" s="27"/>
      <c r="S21" s="37">
        <v>4</v>
      </c>
    </row>
    <row r="22" spans="1:19" ht="51" x14ac:dyDescent="0.2">
      <c r="A22" s="10" t="s">
        <v>93</v>
      </c>
      <c r="B22" s="4" t="s">
        <v>31</v>
      </c>
      <c r="C22" s="27" t="s">
        <v>378</v>
      </c>
      <c r="D22" s="47" t="s">
        <v>330</v>
      </c>
      <c r="E22" s="27">
        <v>1</v>
      </c>
      <c r="F22" s="27">
        <v>1</v>
      </c>
      <c r="G22" s="27">
        <v>6</v>
      </c>
      <c r="H22" s="27">
        <v>6</v>
      </c>
      <c r="I22" s="27">
        <v>14</v>
      </c>
      <c r="J22" s="27">
        <v>13</v>
      </c>
      <c r="K22" s="27">
        <v>22</v>
      </c>
      <c r="L22" s="27">
        <v>22</v>
      </c>
      <c r="M22" s="27">
        <v>29</v>
      </c>
      <c r="N22" s="27">
        <v>29</v>
      </c>
      <c r="O22" s="27">
        <v>30</v>
      </c>
      <c r="P22" s="27">
        <v>30</v>
      </c>
      <c r="Q22" s="43"/>
      <c r="R22" s="27"/>
      <c r="S22" s="37">
        <v>6</v>
      </c>
    </row>
    <row r="23" spans="1:19" ht="51" x14ac:dyDescent="0.2">
      <c r="A23" s="10" t="s">
        <v>95</v>
      </c>
      <c r="B23" s="4" t="s">
        <v>35</v>
      </c>
      <c r="C23" s="27" t="s">
        <v>378</v>
      </c>
      <c r="D23" s="47" t="s">
        <v>331</v>
      </c>
      <c r="E23" s="27">
        <v>0</v>
      </c>
      <c r="F23" s="27">
        <v>0</v>
      </c>
      <c r="G23" s="27">
        <v>0</v>
      </c>
      <c r="H23" s="27">
        <v>0</v>
      </c>
      <c r="I23" s="27">
        <v>8</v>
      </c>
      <c r="J23" s="27">
        <v>8</v>
      </c>
      <c r="K23" s="27">
        <v>7</v>
      </c>
      <c r="L23" s="27">
        <v>7</v>
      </c>
      <c r="M23" s="27">
        <v>12</v>
      </c>
      <c r="N23" s="27">
        <v>11</v>
      </c>
      <c r="O23" s="27">
        <v>15</v>
      </c>
      <c r="P23" s="27">
        <v>12</v>
      </c>
      <c r="Q23" s="43"/>
      <c r="R23" s="27"/>
      <c r="S23" s="37">
        <v>3</v>
      </c>
    </row>
    <row r="24" spans="1:19" ht="51" x14ac:dyDescent="0.2">
      <c r="A24" s="10" t="s">
        <v>97</v>
      </c>
      <c r="B24" s="4" t="s">
        <v>34</v>
      </c>
      <c r="C24" s="27" t="s">
        <v>378</v>
      </c>
      <c r="D24" s="47" t="s">
        <v>332</v>
      </c>
      <c r="E24" s="27">
        <v>0</v>
      </c>
      <c r="F24" s="27">
        <v>0</v>
      </c>
      <c r="G24" s="27">
        <v>2</v>
      </c>
      <c r="H24" s="27">
        <v>2</v>
      </c>
      <c r="I24" s="27">
        <v>3</v>
      </c>
      <c r="J24" s="27">
        <v>3</v>
      </c>
      <c r="K24" s="27">
        <v>6</v>
      </c>
      <c r="L24" s="27">
        <v>6</v>
      </c>
      <c r="M24" s="27">
        <v>34</v>
      </c>
      <c r="N24" s="27">
        <v>33</v>
      </c>
      <c r="O24" s="27">
        <v>51</v>
      </c>
      <c r="P24" s="27">
        <v>51</v>
      </c>
      <c r="Q24" s="43"/>
      <c r="R24" s="27"/>
      <c r="S24" s="37">
        <v>6</v>
      </c>
    </row>
    <row r="25" spans="1:19" ht="51" x14ac:dyDescent="0.2">
      <c r="A25" s="10" t="s">
        <v>99</v>
      </c>
      <c r="B25" s="4" t="s">
        <v>33</v>
      </c>
      <c r="C25" s="27" t="s">
        <v>378</v>
      </c>
      <c r="D25" s="47" t="s">
        <v>352</v>
      </c>
      <c r="E25" s="27">
        <v>4</v>
      </c>
      <c r="F25" s="27">
        <v>4</v>
      </c>
      <c r="G25" s="27">
        <v>14</v>
      </c>
      <c r="H25" s="27">
        <v>14</v>
      </c>
      <c r="I25" s="27">
        <v>12</v>
      </c>
      <c r="J25" s="27">
        <v>12</v>
      </c>
      <c r="K25" s="27">
        <v>25</v>
      </c>
      <c r="L25" s="27">
        <v>24</v>
      </c>
      <c r="M25" s="27">
        <v>43</v>
      </c>
      <c r="N25" s="27">
        <v>43</v>
      </c>
      <c r="O25" s="27">
        <v>30</v>
      </c>
      <c r="P25" s="27">
        <v>30</v>
      </c>
      <c r="Q25" s="43"/>
      <c r="R25" s="27"/>
      <c r="S25" s="37">
        <v>6</v>
      </c>
    </row>
    <row r="26" spans="1:19" ht="51" x14ac:dyDescent="0.2">
      <c r="A26" s="10" t="s">
        <v>101</v>
      </c>
      <c r="B26" s="4" t="s">
        <v>377</v>
      </c>
      <c r="C26" s="27" t="s">
        <v>378</v>
      </c>
      <c r="D26" s="47" t="s">
        <v>333</v>
      </c>
      <c r="E26" s="27">
        <v>4</v>
      </c>
      <c r="F26" s="27">
        <v>4</v>
      </c>
      <c r="G26" s="27">
        <v>7</v>
      </c>
      <c r="H26" s="27">
        <v>7</v>
      </c>
      <c r="I26" s="27">
        <v>16</v>
      </c>
      <c r="J26" s="27">
        <v>15</v>
      </c>
      <c r="K26" s="27">
        <v>31</v>
      </c>
      <c r="L26" s="27">
        <v>30</v>
      </c>
      <c r="M26" s="27">
        <v>32</v>
      </c>
      <c r="N26" s="27">
        <v>32</v>
      </c>
      <c r="O26" s="27">
        <v>26</v>
      </c>
      <c r="P26" s="27">
        <v>26</v>
      </c>
      <c r="Q26" s="43"/>
      <c r="R26" s="27"/>
      <c r="S26" s="37">
        <v>6</v>
      </c>
    </row>
    <row r="27" spans="1:19" ht="51" x14ac:dyDescent="0.2">
      <c r="A27" s="10" t="s">
        <v>102</v>
      </c>
      <c r="B27" s="4" t="s">
        <v>370</v>
      </c>
      <c r="C27" s="27" t="s">
        <v>378</v>
      </c>
      <c r="D27" s="47" t="s">
        <v>334</v>
      </c>
      <c r="E27" s="27">
        <v>4</v>
      </c>
      <c r="F27" s="27">
        <v>4</v>
      </c>
      <c r="G27" s="27">
        <v>14</v>
      </c>
      <c r="H27" s="27">
        <v>14</v>
      </c>
      <c r="I27" s="27">
        <v>8</v>
      </c>
      <c r="J27" s="27">
        <v>8</v>
      </c>
      <c r="K27" s="27">
        <v>11</v>
      </c>
      <c r="L27" s="27">
        <v>11</v>
      </c>
      <c r="M27" s="27">
        <v>11</v>
      </c>
      <c r="N27" s="27">
        <v>11</v>
      </c>
      <c r="O27" s="27">
        <v>5</v>
      </c>
      <c r="P27" s="27">
        <v>5</v>
      </c>
      <c r="Q27" s="43"/>
      <c r="R27" s="27"/>
      <c r="S27" s="37">
        <v>2</v>
      </c>
    </row>
    <row r="28" spans="1:19" ht="51" x14ac:dyDescent="0.2">
      <c r="A28" s="10" t="s">
        <v>104</v>
      </c>
      <c r="B28" s="4" t="s">
        <v>39</v>
      </c>
      <c r="C28" s="27" t="s">
        <v>378</v>
      </c>
      <c r="D28" s="47" t="s">
        <v>335</v>
      </c>
      <c r="E28" s="27">
        <v>0</v>
      </c>
      <c r="F28" s="27">
        <v>0</v>
      </c>
      <c r="G28" s="27">
        <v>0</v>
      </c>
      <c r="H28" s="27">
        <v>0</v>
      </c>
      <c r="I28" s="27">
        <v>4</v>
      </c>
      <c r="J28" s="27">
        <v>4</v>
      </c>
      <c r="K28" s="27">
        <v>1</v>
      </c>
      <c r="L28" s="27">
        <v>1</v>
      </c>
      <c r="M28" s="27">
        <v>6</v>
      </c>
      <c r="N28" s="27">
        <v>6</v>
      </c>
      <c r="O28" s="27">
        <v>11</v>
      </c>
      <c r="P28" s="27">
        <v>11</v>
      </c>
      <c r="Q28" s="43"/>
      <c r="R28" s="27"/>
      <c r="S28" s="37">
        <v>3</v>
      </c>
    </row>
    <row r="29" spans="1:19" ht="51" x14ac:dyDescent="0.2">
      <c r="A29" s="10" t="s">
        <v>106</v>
      </c>
      <c r="B29" s="4" t="s">
        <v>37</v>
      </c>
      <c r="C29" s="27" t="s">
        <v>378</v>
      </c>
      <c r="D29" s="47" t="s">
        <v>336</v>
      </c>
      <c r="E29" s="27">
        <v>4</v>
      </c>
      <c r="F29" s="27">
        <v>4</v>
      </c>
      <c r="G29" s="27">
        <v>0</v>
      </c>
      <c r="H29" s="27">
        <v>0</v>
      </c>
      <c r="I29" s="27">
        <v>4</v>
      </c>
      <c r="J29" s="27">
        <v>4</v>
      </c>
      <c r="K29" s="27">
        <v>10</v>
      </c>
      <c r="L29" s="27">
        <v>10</v>
      </c>
      <c r="M29" s="27">
        <v>14</v>
      </c>
      <c r="N29" s="27">
        <v>14</v>
      </c>
      <c r="O29" s="27">
        <v>6</v>
      </c>
      <c r="P29" s="27">
        <v>6</v>
      </c>
      <c r="Q29" s="43"/>
      <c r="R29" s="27"/>
      <c r="S29" s="37">
        <v>3</v>
      </c>
    </row>
    <row r="30" spans="1:19" ht="51" x14ac:dyDescent="0.2">
      <c r="A30" s="10" t="s">
        <v>108</v>
      </c>
      <c r="B30" s="4" t="s">
        <v>41</v>
      </c>
      <c r="C30" s="27" t="s">
        <v>378</v>
      </c>
      <c r="D30" s="47" t="s">
        <v>337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4</v>
      </c>
      <c r="N30" s="27">
        <v>4</v>
      </c>
      <c r="O30" s="27">
        <v>9</v>
      </c>
      <c r="P30" s="27">
        <v>9</v>
      </c>
      <c r="Q30" s="43"/>
      <c r="R30" s="27"/>
      <c r="S30" s="37">
        <v>2</v>
      </c>
    </row>
    <row r="31" spans="1:19" ht="51" x14ac:dyDescent="0.2">
      <c r="A31" s="10" t="s">
        <v>110</v>
      </c>
      <c r="B31" s="4" t="s">
        <v>38</v>
      </c>
      <c r="C31" s="27" t="s">
        <v>378</v>
      </c>
      <c r="D31" s="47" t="s">
        <v>338</v>
      </c>
      <c r="E31" s="27">
        <v>0</v>
      </c>
      <c r="F31" s="27">
        <v>0</v>
      </c>
      <c r="G31" s="27">
        <v>0</v>
      </c>
      <c r="H31" s="27">
        <v>0</v>
      </c>
      <c r="I31" s="27">
        <v>0</v>
      </c>
      <c r="J31" s="27">
        <v>0</v>
      </c>
      <c r="K31" s="27">
        <v>0</v>
      </c>
      <c r="L31" s="27">
        <v>0</v>
      </c>
      <c r="M31" s="27">
        <v>0</v>
      </c>
      <c r="N31" s="27">
        <v>0</v>
      </c>
      <c r="O31" s="27">
        <v>1</v>
      </c>
      <c r="P31" s="27">
        <v>1</v>
      </c>
      <c r="Q31" s="43"/>
      <c r="R31" s="27"/>
      <c r="S31" s="37">
        <v>1</v>
      </c>
    </row>
    <row r="32" spans="1:19" ht="51" x14ac:dyDescent="0.2">
      <c r="A32" s="10" t="s">
        <v>112</v>
      </c>
      <c r="B32" s="4" t="s">
        <v>40</v>
      </c>
      <c r="C32" s="27" t="s">
        <v>378</v>
      </c>
      <c r="D32" s="47" t="s">
        <v>339</v>
      </c>
      <c r="E32" s="27">
        <v>0</v>
      </c>
      <c r="F32" s="27">
        <v>0</v>
      </c>
      <c r="G32" s="27">
        <v>0</v>
      </c>
      <c r="H32" s="27">
        <v>0</v>
      </c>
      <c r="I32" s="27">
        <v>0</v>
      </c>
      <c r="J32" s="27">
        <v>0</v>
      </c>
      <c r="K32" s="27">
        <v>3</v>
      </c>
      <c r="L32" s="27">
        <v>3</v>
      </c>
      <c r="M32" s="27">
        <v>6</v>
      </c>
      <c r="N32" s="27">
        <v>6</v>
      </c>
      <c r="O32" s="27">
        <v>5</v>
      </c>
      <c r="P32" s="27">
        <v>5</v>
      </c>
      <c r="Q32" s="43"/>
      <c r="R32" s="27"/>
      <c r="S32" s="37">
        <v>3</v>
      </c>
    </row>
    <row r="33" spans="1:19" ht="51" x14ac:dyDescent="0.2">
      <c r="A33" s="10" t="s">
        <v>114</v>
      </c>
      <c r="B33" s="12" t="s">
        <v>3</v>
      </c>
      <c r="C33" s="27" t="s">
        <v>378</v>
      </c>
      <c r="D33" s="47" t="s">
        <v>340</v>
      </c>
      <c r="E33" s="27">
        <v>0</v>
      </c>
      <c r="F33" s="27">
        <v>0</v>
      </c>
      <c r="G33" s="27">
        <v>4</v>
      </c>
      <c r="H33" s="27">
        <v>4</v>
      </c>
      <c r="I33" s="27">
        <v>6</v>
      </c>
      <c r="J33" s="27">
        <v>5</v>
      </c>
      <c r="K33" s="27">
        <v>3</v>
      </c>
      <c r="L33" s="27">
        <v>3</v>
      </c>
      <c r="M33" s="27">
        <v>7</v>
      </c>
      <c r="N33" s="27">
        <v>7</v>
      </c>
      <c r="O33" s="27">
        <v>12</v>
      </c>
      <c r="P33" s="27">
        <v>11</v>
      </c>
      <c r="Q33" s="43"/>
      <c r="R33" s="27"/>
      <c r="S33" s="37">
        <v>3</v>
      </c>
    </row>
    <row r="34" spans="1:19" s="19" customFormat="1" ht="63.75" x14ac:dyDescent="0.2">
      <c r="A34" s="17" t="s">
        <v>116</v>
      </c>
      <c r="B34" s="18" t="s">
        <v>199</v>
      </c>
      <c r="C34" s="27" t="s">
        <v>378</v>
      </c>
      <c r="D34" s="59" t="s">
        <v>341</v>
      </c>
      <c r="E34" s="38">
        <v>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38">
        <v>0</v>
      </c>
      <c r="Q34" s="38"/>
      <c r="R34" s="38"/>
      <c r="S34" s="39">
        <v>1</v>
      </c>
    </row>
    <row r="35" spans="1:19" s="19" customFormat="1" ht="63.75" x14ac:dyDescent="0.2">
      <c r="A35" s="17"/>
      <c r="B35" s="18"/>
      <c r="C35" s="27" t="s">
        <v>378</v>
      </c>
      <c r="D35" s="55" t="s">
        <v>342</v>
      </c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9"/>
    </row>
    <row r="36" spans="1:19" ht="63.75" x14ac:dyDescent="0.2">
      <c r="A36" s="10" t="s">
        <v>118</v>
      </c>
      <c r="B36" s="4" t="s">
        <v>11</v>
      </c>
      <c r="C36" s="27" t="s">
        <v>378</v>
      </c>
      <c r="D36" s="47" t="s">
        <v>359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1</v>
      </c>
      <c r="P36" s="27">
        <v>1</v>
      </c>
      <c r="Q36" s="43"/>
      <c r="R36" s="27"/>
      <c r="S36" s="37">
        <v>1</v>
      </c>
    </row>
    <row r="37" spans="1:19" ht="51" x14ac:dyDescent="0.2">
      <c r="A37" s="10" t="s">
        <v>120</v>
      </c>
      <c r="B37" s="4" t="s">
        <v>42</v>
      </c>
      <c r="C37" s="27" t="s">
        <v>378</v>
      </c>
      <c r="D37" s="47" t="s">
        <v>353</v>
      </c>
      <c r="E37" s="27">
        <v>0</v>
      </c>
      <c r="F37" s="27">
        <v>0</v>
      </c>
      <c r="G37" s="27">
        <v>6</v>
      </c>
      <c r="H37" s="27">
        <v>6</v>
      </c>
      <c r="I37" s="27">
        <v>2</v>
      </c>
      <c r="J37" s="27">
        <v>2</v>
      </c>
      <c r="K37" s="27">
        <v>2</v>
      </c>
      <c r="L37" s="27">
        <v>2</v>
      </c>
      <c r="M37" s="27">
        <v>4</v>
      </c>
      <c r="N37" s="27">
        <v>4</v>
      </c>
      <c r="O37" s="27">
        <v>6</v>
      </c>
      <c r="P37" s="27">
        <v>6</v>
      </c>
      <c r="Q37" s="43"/>
      <c r="R37" s="27"/>
      <c r="S37" s="37">
        <v>3</v>
      </c>
    </row>
    <row r="38" spans="1:19" ht="51" x14ac:dyDescent="0.2">
      <c r="A38" s="10" t="s">
        <v>122</v>
      </c>
      <c r="B38" s="4" t="s">
        <v>43</v>
      </c>
      <c r="C38" s="27" t="s">
        <v>378</v>
      </c>
      <c r="D38" s="47" t="s">
        <v>354</v>
      </c>
      <c r="E38" s="27">
        <v>0</v>
      </c>
      <c r="F38" s="27">
        <v>0</v>
      </c>
      <c r="G38" s="27">
        <v>0</v>
      </c>
      <c r="H38" s="27">
        <v>0</v>
      </c>
      <c r="I38" s="27">
        <v>0</v>
      </c>
      <c r="J38" s="27">
        <v>0</v>
      </c>
      <c r="K38" s="27">
        <v>0</v>
      </c>
      <c r="L38" s="27">
        <v>0</v>
      </c>
      <c r="M38" s="27">
        <v>8</v>
      </c>
      <c r="N38" s="27">
        <v>8</v>
      </c>
      <c r="O38" s="27">
        <v>6</v>
      </c>
      <c r="P38" s="27">
        <v>6</v>
      </c>
      <c r="Q38" s="43"/>
      <c r="R38" s="27"/>
      <c r="S38" s="37">
        <v>2</v>
      </c>
    </row>
    <row r="39" spans="1:19" x14ac:dyDescent="0.2">
      <c r="A39" s="27"/>
      <c r="B39" s="27"/>
      <c r="C39" s="27"/>
      <c r="D39" s="45"/>
      <c r="E39" s="43">
        <f>SUM(E3:E38)</f>
        <v>161</v>
      </c>
      <c r="F39" s="43">
        <f t="shared" ref="F39:P39" si="0">SUM(F3:F38)</f>
        <v>131</v>
      </c>
      <c r="G39" s="43">
        <f t="shared" si="0"/>
        <v>339</v>
      </c>
      <c r="H39" s="43">
        <f t="shared" si="0"/>
        <v>297</v>
      </c>
      <c r="I39" s="43">
        <f t="shared" si="0"/>
        <v>497</v>
      </c>
      <c r="J39" s="43">
        <f t="shared" si="0"/>
        <v>453</v>
      </c>
      <c r="K39" s="43">
        <f t="shared" si="0"/>
        <v>922</v>
      </c>
      <c r="L39" s="43">
        <f t="shared" si="0"/>
        <v>842</v>
      </c>
      <c r="M39" s="43">
        <f t="shared" si="0"/>
        <v>1673</v>
      </c>
      <c r="N39" s="43">
        <f t="shared" si="0"/>
        <v>1569</v>
      </c>
      <c r="O39" s="43">
        <f t="shared" si="0"/>
        <v>1951</v>
      </c>
      <c r="P39" s="43">
        <f t="shared" si="0"/>
        <v>1842</v>
      </c>
      <c r="Q39" s="27"/>
      <c r="R39" s="27"/>
      <c r="S39" s="28"/>
    </row>
    <row r="40" spans="1:19" x14ac:dyDescent="0.2">
      <c r="P40">
        <f>SUM(P3:P38)</f>
        <v>1842</v>
      </c>
    </row>
    <row r="43" spans="1:19" ht="15.75" x14ac:dyDescent="0.25">
      <c r="B43" s="9" t="s">
        <v>355</v>
      </c>
      <c r="D43" s="57">
        <f>E39+G39+I39+K39+M39+O39</f>
        <v>5543</v>
      </c>
    </row>
    <row r="44" spans="1:19" ht="15.75" x14ac:dyDescent="0.25">
      <c r="B44" s="9" t="s">
        <v>356</v>
      </c>
      <c r="D44" s="57">
        <f>F39+H39+J39+L39+N39+P39</f>
        <v>5134</v>
      </c>
    </row>
  </sheetData>
  <mergeCells count="12">
    <mergeCell ref="S1:S2"/>
    <mergeCell ref="A1:A2"/>
    <mergeCell ref="B1:B2"/>
    <mergeCell ref="C1:C2"/>
    <mergeCell ref="D1:D2"/>
    <mergeCell ref="E1:F1"/>
    <mergeCell ref="G1:H1"/>
    <mergeCell ref="I1:J1"/>
    <mergeCell ref="K1:L1"/>
    <mergeCell ref="M1:N1"/>
    <mergeCell ref="O1:P1"/>
    <mergeCell ref="Q1:R1"/>
  </mergeCells>
  <conditionalFormatting sqref="B1">
    <cfRule type="duplicateValues" dxfId="1" priority="1"/>
  </conditionalFormatting>
  <conditionalFormatting sqref="B3:B1048576">
    <cfRule type="duplicateValues" dxfId="0" priority="2"/>
  </conditionalFormatting>
  <hyperlinks>
    <hyperlink ref="D37" r:id="rId1" xr:uid="{9F5F0913-438A-4F0D-80A5-8844A75CD528}"/>
    <hyperlink ref="D3" r:id="rId2" xr:uid="{610352F4-3C02-4D63-A07A-7A94DDC02102}"/>
    <hyperlink ref="D4" r:id="rId3" xr:uid="{F27FFB15-6909-4BBC-9AFE-A4F35C91024C}"/>
    <hyperlink ref="D5" r:id="rId4" xr:uid="{C457F366-F323-4E2A-B156-B6FD4A8D7A48}"/>
    <hyperlink ref="D6" r:id="rId5" xr:uid="{3181E154-AE30-457E-9466-016472DE5239}"/>
    <hyperlink ref="D7" r:id="rId6" xr:uid="{791BA296-B45E-45EF-8A96-4BACEBEB6EB8}"/>
    <hyperlink ref="D8" r:id="rId7" xr:uid="{E8B5BDAF-BE50-414F-9E05-B4603DED5FE3}"/>
    <hyperlink ref="D9" r:id="rId8" xr:uid="{207C2FA9-0757-49C7-A987-BC1AC645B220}"/>
    <hyperlink ref="D10" r:id="rId9" xr:uid="{263E6EF6-D52C-48A1-A71B-FF4CA2A28431}"/>
    <hyperlink ref="D11" r:id="rId10" xr:uid="{5F9C9426-B193-4D7A-B154-EDB5F67A1692}"/>
    <hyperlink ref="D12" r:id="rId11" xr:uid="{8A7D5C61-68B5-4B83-85D8-55C536F453FF}"/>
    <hyperlink ref="D13" r:id="rId12" xr:uid="{DF78555B-F3A2-40C8-8A25-7F8C889E1A00}"/>
    <hyperlink ref="D14" r:id="rId13" xr:uid="{C503A6FA-F972-4F85-9993-41F46604C6CC}"/>
    <hyperlink ref="D16" r:id="rId14" xr:uid="{71568831-BF5E-4763-A774-234FB8EBE991}"/>
    <hyperlink ref="D17" r:id="rId15" xr:uid="{6DD1CF32-4EFF-4163-9F16-C6E8538F35AB}"/>
    <hyperlink ref="D18" r:id="rId16" xr:uid="{BB48B1FA-D7E9-470F-A55E-45F586BC66FB}"/>
    <hyperlink ref="D20" r:id="rId17" xr:uid="{B5ACF9A0-6B8D-494A-A369-F008BE4F1A16}"/>
    <hyperlink ref="D21" r:id="rId18" xr:uid="{E5675A5A-9609-4138-9C99-5BEB80B7EB05}"/>
    <hyperlink ref="D22" r:id="rId19" xr:uid="{FE0ACAEF-4FEA-4F07-B46D-26D164A68E2D}"/>
    <hyperlink ref="D23" r:id="rId20" xr:uid="{D89B080B-4472-4301-866A-DDDCBE045C00}"/>
    <hyperlink ref="D24" r:id="rId21" xr:uid="{C79447CB-284F-487F-974D-D4A7BE9BE27F}"/>
    <hyperlink ref="D25" r:id="rId22" xr:uid="{D2773D76-360C-4825-8FA7-AB21071B11F6}"/>
    <hyperlink ref="D26" r:id="rId23" xr:uid="{F6B0FAA3-E164-41E5-867F-FB8093466119}"/>
    <hyperlink ref="D27" r:id="rId24" xr:uid="{F34295AC-2F4D-4836-ABA8-F50134FB8873}"/>
    <hyperlink ref="D28" r:id="rId25" xr:uid="{5B4FFD7D-0D66-4D5A-AAA6-44C2A18441F0}"/>
    <hyperlink ref="D29" r:id="rId26" xr:uid="{B9842D65-6A0A-4658-804E-B44F70DFC830}"/>
    <hyperlink ref="D30" r:id="rId27" xr:uid="{CAAEB483-EE69-413A-B453-866F62AADD8E}"/>
    <hyperlink ref="D31" r:id="rId28" xr:uid="{43BE2E3B-84CA-4171-992F-24AD967C4010}"/>
    <hyperlink ref="D32" r:id="rId29" xr:uid="{B480D1B8-12BF-47DB-9F8E-5C6119AD100E}"/>
    <hyperlink ref="D33" r:id="rId30" xr:uid="{6F725786-36AC-4364-9FF4-D97E5DEB172A}"/>
    <hyperlink ref="D34" r:id="rId31" xr:uid="{07973D31-39AF-4ABC-9320-6B05200C25E5}"/>
    <hyperlink ref="D36" r:id="rId32" xr:uid="{F7525A5E-37CC-4F46-A16F-25985DEC644F}"/>
    <hyperlink ref="D38" r:id="rId33" xr:uid="{FCAA0E98-69A7-4B1C-BE40-FB00C6A88AA5}"/>
  </hyperlinks>
  <pageMargins left="0.7" right="0.7" top="0.75" bottom="0.75" header="0.3" footer="0.3"/>
  <pageSetup orientation="portrait" r:id="rId3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3DE578-6FA4-433A-9535-FE2D9DA09D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Dosen yang belum memiki SCOPUS</vt:lpstr>
      <vt:lpstr>AK</vt:lpstr>
      <vt:lpstr>IE</vt:lpstr>
      <vt:lpstr>MN</vt:lpstr>
      <vt:lpstr>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D. Rahmantya</cp:lastModifiedBy>
  <dcterms:modified xsi:type="dcterms:W3CDTF">2026-04-30T05:01:49Z</dcterms:modified>
</cp:coreProperties>
</file>